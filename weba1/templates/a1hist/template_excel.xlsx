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vinicius.santos.A1\Documents\"/>
    </mc:Choice>
  </mc:AlternateContent>
  <xr:revisionPtr revIDLastSave="0" documentId="8_{3EFD683C-C14D-41D6-8721-B9BBD68372D2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Histograma %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9" i="1" l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O5" i="1" l="1"/>
  <c r="N4" i="1"/>
  <c r="O7" i="1" l="1"/>
  <c r="O6" i="1"/>
  <c r="O4" i="1"/>
  <c r="P5" i="1"/>
  <c r="N6" i="1"/>
  <c r="N7" i="1"/>
  <c r="Q5" i="1" l="1"/>
  <c r="P7" i="1"/>
  <c r="P6" i="1"/>
  <c r="P4" i="1"/>
  <c r="R5" i="1" l="1"/>
  <c r="Q7" i="1"/>
  <c r="Q6" i="1"/>
  <c r="Q4" i="1"/>
  <c r="S5" i="1" l="1"/>
  <c r="R7" i="1"/>
  <c r="R6" i="1"/>
  <c r="R4" i="1"/>
  <c r="S7" i="1" l="1"/>
  <c r="S6" i="1"/>
  <c r="S4" i="1"/>
  <c r="T5" i="1"/>
  <c r="U5" i="1" l="1"/>
  <c r="T7" i="1"/>
  <c r="T6" i="1"/>
  <c r="T4" i="1"/>
  <c r="V5" i="1" l="1"/>
  <c r="U7" i="1"/>
  <c r="U6" i="1"/>
  <c r="U4" i="1"/>
  <c r="W5" i="1" l="1"/>
  <c r="V7" i="1"/>
  <c r="V6" i="1"/>
  <c r="V4" i="1"/>
  <c r="W7" i="1" l="1"/>
  <c r="W6" i="1"/>
  <c r="W4" i="1"/>
  <c r="X5" i="1"/>
  <c r="Y5" i="1" l="1"/>
  <c r="X7" i="1"/>
  <c r="X6" i="1"/>
  <c r="X4" i="1"/>
  <c r="Z5" i="1" l="1"/>
  <c r="Y7" i="1"/>
  <c r="Y6" i="1"/>
  <c r="Y4" i="1"/>
  <c r="AA5" i="1" l="1"/>
  <c r="Z7" i="1"/>
  <c r="Z6" i="1"/>
  <c r="Z4" i="1"/>
  <c r="AA7" i="1" l="1"/>
  <c r="AA6" i="1"/>
  <c r="AA4" i="1"/>
  <c r="AB5" i="1"/>
  <c r="AC5" i="1" l="1"/>
  <c r="AB7" i="1"/>
  <c r="AB6" i="1"/>
  <c r="AB4" i="1"/>
  <c r="AD5" i="1" l="1"/>
  <c r="AC7" i="1"/>
  <c r="AC6" i="1"/>
  <c r="AC4" i="1"/>
  <c r="AE5" i="1" l="1"/>
  <c r="AD7" i="1"/>
  <c r="AD6" i="1"/>
  <c r="AD4" i="1"/>
  <c r="AE7" i="1" l="1"/>
  <c r="AE6" i="1"/>
  <c r="AE4" i="1"/>
  <c r="AF5" i="1"/>
  <c r="AG5" i="1" l="1"/>
  <c r="AF7" i="1"/>
  <c r="AF6" i="1"/>
  <c r="AF4" i="1"/>
  <c r="AH5" i="1" l="1"/>
  <c r="AG7" i="1"/>
  <c r="AG6" i="1"/>
  <c r="AG4" i="1"/>
  <c r="AI5" i="1" l="1"/>
  <c r="AH7" i="1"/>
  <c r="AH6" i="1"/>
  <c r="AH4" i="1"/>
  <c r="AI7" i="1" l="1"/>
  <c r="AI6" i="1"/>
  <c r="AI4" i="1"/>
  <c r="AJ5" i="1"/>
  <c r="AK5" i="1" l="1"/>
  <c r="AJ7" i="1"/>
  <c r="AJ6" i="1"/>
  <c r="AJ4" i="1"/>
  <c r="AL5" i="1" l="1"/>
  <c r="AK7" i="1"/>
  <c r="AK6" i="1"/>
  <c r="AK4" i="1"/>
  <c r="AM5" i="1" l="1"/>
  <c r="AL7" i="1"/>
  <c r="AL6" i="1"/>
  <c r="AL4" i="1"/>
  <c r="AM7" i="1" l="1"/>
  <c r="AM6" i="1"/>
  <c r="AM4" i="1"/>
  <c r="AN5" i="1"/>
  <c r="AO5" i="1" l="1"/>
  <c r="AN7" i="1"/>
  <c r="AN6" i="1"/>
  <c r="AN4" i="1"/>
  <c r="AP5" i="1" l="1"/>
  <c r="AO7" i="1"/>
  <c r="AO6" i="1"/>
  <c r="AO4" i="1"/>
  <c r="AQ5" i="1" l="1"/>
  <c r="AP7" i="1"/>
  <c r="AP6" i="1"/>
  <c r="AP4" i="1"/>
  <c r="AQ7" i="1" l="1"/>
  <c r="AQ6" i="1"/>
  <c r="AQ4" i="1"/>
  <c r="AR5" i="1"/>
  <c r="AS5" i="1" l="1"/>
  <c r="AR7" i="1"/>
  <c r="AR6" i="1"/>
  <c r="AR4" i="1"/>
  <c r="AT5" i="1" l="1"/>
  <c r="AS7" i="1"/>
  <c r="AS6" i="1"/>
  <c r="AS4" i="1"/>
  <c r="AU5" i="1" l="1"/>
  <c r="AT7" i="1"/>
  <c r="AT6" i="1"/>
  <c r="AT4" i="1"/>
  <c r="AU7" i="1" l="1"/>
  <c r="AU6" i="1"/>
  <c r="AU4" i="1"/>
  <c r="AV5" i="1"/>
  <c r="AW5" i="1" l="1"/>
  <c r="AV7" i="1"/>
  <c r="AV6" i="1"/>
  <c r="AV4" i="1"/>
  <c r="AW10" i="1" l="1"/>
  <c r="AW9" i="1"/>
  <c r="AX5" i="1"/>
  <c r="AW7" i="1"/>
  <c r="AW6" i="1"/>
  <c r="AW4" i="1"/>
  <c r="AX9" i="1" l="1"/>
  <c r="AY5" i="1"/>
  <c r="AX7" i="1"/>
  <c r="AX6" i="1"/>
  <c r="AX4" i="1"/>
  <c r="AX10" i="1"/>
  <c r="AY7" i="1" l="1"/>
  <c r="AY6" i="1"/>
  <c r="AY4" i="1"/>
  <c r="AY10" i="1"/>
  <c r="AY9" i="1"/>
  <c r="AZ5" i="1"/>
  <c r="AZ10" i="1" l="1"/>
  <c r="AZ9" i="1"/>
  <c r="BA5" i="1"/>
  <c r="AZ7" i="1"/>
  <c r="AZ6" i="1"/>
  <c r="AZ4" i="1"/>
  <c r="BA10" i="1" l="1"/>
  <c r="BA9" i="1"/>
  <c r="BB5" i="1"/>
  <c r="BA7" i="1"/>
  <c r="BA6" i="1"/>
  <c r="BA4" i="1"/>
  <c r="BB9" i="1" l="1"/>
  <c r="BC5" i="1"/>
  <c r="BB7" i="1"/>
  <c r="BB6" i="1"/>
  <c r="BB4" i="1"/>
  <c r="BB10" i="1"/>
  <c r="BC7" i="1" l="1"/>
  <c r="BC6" i="1"/>
  <c r="BC4" i="1"/>
  <c r="BC10" i="1"/>
  <c r="BC9" i="1"/>
  <c r="BD5" i="1"/>
  <c r="BD10" i="1" l="1"/>
  <c r="BD9" i="1"/>
  <c r="BE5" i="1"/>
  <c r="BD7" i="1"/>
  <c r="BD6" i="1"/>
  <c r="BD4" i="1"/>
  <c r="BE10" i="1" l="1"/>
  <c r="BE9" i="1"/>
  <c r="BF5" i="1"/>
  <c r="BE7" i="1"/>
  <c r="BE6" i="1"/>
  <c r="BE4" i="1"/>
  <c r="BF9" i="1" l="1"/>
  <c r="BG5" i="1"/>
  <c r="BF7" i="1"/>
  <c r="BF6" i="1"/>
  <c r="BF4" i="1"/>
  <c r="BF10" i="1"/>
  <c r="BG7" i="1" l="1"/>
  <c r="BG6" i="1"/>
  <c r="BG4" i="1"/>
  <c r="BG10" i="1"/>
  <c r="BG9" i="1"/>
  <c r="BH5" i="1"/>
  <c r="BH10" i="1" l="1"/>
  <c r="BH9" i="1"/>
  <c r="BI5" i="1"/>
  <c r="BH7" i="1"/>
  <c r="BH6" i="1"/>
  <c r="BH4" i="1"/>
  <c r="BI10" i="1" l="1"/>
  <c r="BI9" i="1"/>
  <c r="BJ5" i="1"/>
  <c r="BI7" i="1"/>
  <c r="BI6" i="1"/>
  <c r="BI4" i="1"/>
  <c r="BJ9" i="1" l="1"/>
  <c r="BK5" i="1"/>
  <c r="BJ7" i="1"/>
  <c r="BJ6" i="1"/>
  <c r="BJ4" i="1"/>
  <c r="BJ10" i="1"/>
  <c r="BK7" i="1" l="1"/>
  <c r="BK6" i="1"/>
  <c r="BK4" i="1"/>
  <c r="BK10" i="1"/>
  <c r="BK9" i="1"/>
  <c r="BL5" i="1"/>
  <c r="BL10" i="1" l="1"/>
  <c r="BL9" i="1"/>
  <c r="BM5" i="1"/>
  <c r="BL7" i="1"/>
  <c r="BL6" i="1"/>
  <c r="BL4" i="1"/>
  <c r="BM10" i="1" l="1"/>
  <c r="BM9" i="1"/>
  <c r="BM7" i="1"/>
  <c r="BM6" i="1"/>
  <c r="BM4" i="1"/>
</calcChain>
</file>

<file path=xl/sharedStrings.xml><?xml version="1.0" encoding="utf-8"?>
<sst xmlns="http://schemas.openxmlformats.org/spreadsheetml/2006/main" count="142" uniqueCount="142">
  <si>
    <t>02_Jan/21</t>
  </si>
  <si>
    <t>03_Jan/21</t>
  </si>
  <si>
    <t>04_Jan/21</t>
  </si>
  <si>
    <t>05_Jan/21</t>
  </si>
  <si>
    <t>06_Fev/21</t>
  </si>
  <si>
    <t>07_Fev/21</t>
  </si>
  <si>
    <t>08_Fev/21</t>
  </si>
  <si>
    <t>09_Fev/21</t>
  </si>
  <si>
    <t>10_Mar/21</t>
  </si>
  <si>
    <t>11_Mar/21</t>
  </si>
  <si>
    <t>12_Mar/21</t>
  </si>
  <si>
    <t>13_Mar/21</t>
  </si>
  <si>
    <t>14_Mar/21</t>
  </si>
  <si>
    <t>15_Abr/21</t>
  </si>
  <si>
    <t>16_Abr/21</t>
  </si>
  <si>
    <t>17_Abr/21</t>
  </si>
  <si>
    <t>18_Abr/21</t>
  </si>
  <si>
    <t>19_Mai/21</t>
  </si>
  <si>
    <t>20_Mai/21</t>
  </si>
  <si>
    <t>21_Mai/21</t>
  </si>
  <si>
    <t>22_Mai/21</t>
  </si>
  <si>
    <t>23_Jun/21</t>
  </si>
  <si>
    <t>24_Jun/21</t>
  </si>
  <si>
    <t>25_Jun/21</t>
  </si>
  <si>
    <t>26_Jun/21</t>
  </si>
  <si>
    <t>27_Jun/21</t>
  </si>
  <si>
    <t>28_Jul/21</t>
  </si>
  <si>
    <t>29_Jul/21</t>
  </si>
  <si>
    <t>30_Jul/21</t>
  </si>
  <si>
    <t>31_Jul/21</t>
  </si>
  <si>
    <t>32_Ago/21</t>
  </si>
  <si>
    <t>33_Ago/21</t>
  </si>
  <si>
    <t>34_Ago/21</t>
  </si>
  <si>
    <t>35_Ago/21</t>
  </si>
  <si>
    <t>36_Ago/21</t>
  </si>
  <si>
    <t>37_Set/21</t>
  </si>
  <si>
    <t>38_Set/21</t>
  </si>
  <si>
    <t>39_Set/21</t>
  </si>
  <si>
    <t>40_Set/21</t>
  </si>
  <si>
    <t>41_Out/21</t>
  </si>
  <si>
    <t>42_Out/21</t>
  </si>
  <si>
    <t>43_Out/21</t>
  </si>
  <si>
    <t>44_Out/21</t>
  </si>
  <si>
    <t>45_Nov/21</t>
  </si>
  <si>
    <t>46_Nov/21</t>
  </si>
  <si>
    <t>47_Nov/21</t>
  </si>
  <si>
    <t>48_Nov/21</t>
  </si>
  <si>
    <t>49_Dez/21</t>
  </si>
  <si>
    <t>50_Dez/21</t>
  </si>
  <si>
    <t>51_Dez/21</t>
  </si>
  <si>
    <t>52_Dez/21</t>
  </si>
  <si>
    <t>53_Dez/21</t>
  </si>
  <si>
    <t>02_Jan/22</t>
  </si>
  <si>
    <t>03_Jan/22</t>
  </si>
  <si>
    <t>04_Jan/22</t>
  </si>
  <si>
    <t>05_Jan/22</t>
  </si>
  <si>
    <t>06_Jan/22</t>
  </si>
  <si>
    <t>07_Fev/22</t>
  </si>
  <si>
    <t>08_Fev/22</t>
  </si>
  <si>
    <t>09_Fev/22</t>
  </si>
  <si>
    <t>10_Fev/22</t>
  </si>
  <si>
    <t>11_Mar/22</t>
  </si>
  <si>
    <t>12_Mar/22</t>
  </si>
  <si>
    <t>13_Mar/22</t>
  </si>
  <si>
    <t>14_Mar/22</t>
  </si>
  <si>
    <t>15_Abr/22</t>
  </si>
  <si>
    <t>16_Abr/22</t>
  </si>
  <si>
    <t>17_Abr/22</t>
  </si>
  <si>
    <t>18_Abr/22</t>
  </si>
  <si>
    <t>19_Mai/22</t>
  </si>
  <si>
    <t>20_Mai/22</t>
  </si>
  <si>
    <t>21_Mai/22</t>
  </si>
  <si>
    <t>22_Mai/22</t>
  </si>
  <si>
    <t>23_Mai/22</t>
  </si>
  <si>
    <t>24_Jun/22</t>
  </si>
  <si>
    <t>25_Jun/22</t>
  </si>
  <si>
    <t>26_Jun/22</t>
  </si>
  <si>
    <t>27_Jun/22</t>
  </si>
  <si>
    <t>ITEM</t>
  </si>
  <si>
    <t>NOME</t>
  </si>
  <si>
    <t>CLASSIFICAÇÃO</t>
  </si>
  <si>
    <t>NÍVEL DO CARGO</t>
  </si>
  <si>
    <t>ID DISCIPLINA A1SYS</t>
  </si>
  <si>
    <t>DISCIPLINA</t>
  </si>
  <si>
    <t>RH / OCV</t>
  </si>
  <si>
    <t>PROJETO(OS)</t>
  </si>
  <si>
    <t>EAP</t>
  </si>
  <si>
    <t>OBSERVAÇÃO</t>
  </si>
  <si>
    <t>DATA INÍCIO</t>
  </si>
  <si>
    <t>DATA TÉRMINO</t>
  </si>
  <si>
    <t>33_Ago/22</t>
  </si>
  <si>
    <t>34_Ago/22</t>
  </si>
  <si>
    <t>35_Ago/22</t>
  </si>
  <si>
    <t>36_Ago/22</t>
  </si>
  <si>
    <t>37_Set/22</t>
  </si>
  <si>
    <t>38_Set/22</t>
  </si>
  <si>
    <t>39_Set/22</t>
  </si>
  <si>
    <t>40_Set/22</t>
  </si>
  <si>
    <t>41_Out/22</t>
  </si>
  <si>
    <t>42_Out/22</t>
  </si>
  <si>
    <t>43_Out/22</t>
  </si>
  <si>
    <t>44_Out/22</t>
  </si>
  <si>
    <t>45_Out/22</t>
  </si>
  <si>
    <t>46_Nov/22</t>
  </si>
  <si>
    <t>47_Nov/22</t>
  </si>
  <si>
    <t>48_Nov/22</t>
  </si>
  <si>
    <t>49_Nov/22</t>
  </si>
  <si>
    <t>50_Dez/22</t>
  </si>
  <si>
    <t>51_Dez/22</t>
  </si>
  <si>
    <t>52_Dez/22</t>
  </si>
  <si>
    <t>53_Dez/22</t>
  </si>
  <si>
    <t>01_Jan/23</t>
  </si>
  <si>
    <t>02_Jan/23</t>
  </si>
  <si>
    <t>03_Jan/23</t>
  </si>
  <si>
    <t>04_Jan/23</t>
  </si>
  <si>
    <t>05_Jan/23</t>
  </si>
  <si>
    <t>06_Fev/23</t>
  </si>
  <si>
    <t>07_Fev/23</t>
  </si>
  <si>
    <t>08_Fev/23</t>
  </si>
  <si>
    <t>09_Fev/23</t>
  </si>
  <si>
    <t>10_Mar/23</t>
  </si>
  <si>
    <t>11_Mar/23</t>
  </si>
  <si>
    <t>12_Mar/23</t>
  </si>
  <si>
    <t>13_Mar/23</t>
  </si>
  <si>
    <t>14_Abr/23</t>
  </si>
  <si>
    <t>15_Abr/23</t>
  </si>
  <si>
    <t>16_Abr/23</t>
  </si>
  <si>
    <t>17_Abr/23</t>
  </si>
  <si>
    <t>18_Abr/23</t>
  </si>
  <si>
    <t>19_Mai/23</t>
  </si>
  <si>
    <t>20_Mai/23</t>
  </si>
  <si>
    <t>21_Mai/23</t>
  </si>
  <si>
    <t>22_Mai/23</t>
  </si>
  <si>
    <t>23_Jun/23</t>
  </si>
  <si>
    <t>24_Jun/23</t>
  </si>
  <si>
    <t>25_Jun/23</t>
  </si>
  <si>
    <t>26_Jun/23</t>
  </si>
  <si>
    <t>27_Jul/23</t>
  </si>
  <si>
    <t>28_Jul/23</t>
  </si>
  <si>
    <t>29_Jul/23</t>
  </si>
  <si>
    <t>30_Jul/23</t>
  </si>
  <si>
    <t>31_Jul/23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</si>
</sst>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name val="Tahoma"/>
      <family val="2"/>
    </font>
    <font>
      <sz val="10"/>
      <color theme="0"/>
      <name val="Tahoma"/>
      <family val="2"/>
    </font>
    <font>
      <b/>
      <sz val="10"/>
      <color theme="0" tint="-4.9989318521683403E-2"/>
      <name val="Tahoma"/>
      <family val="2"/>
    </font>
    <font>
      <sz val="10"/>
      <color theme="0" tint="-4.9989318521683403E-2"/>
      <name val="Tahoma"/>
      <family val="2"/>
    </font>
    <font>
      <b/>
      <sz val="8"/>
      <color theme="0" tint="-4.9989318521683403E-2"/>
      <name val="Tahoma"/>
      <family val="2"/>
    </font>
    <font>
      <sz val="10"/>
      <name val="Tahoma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5" tint="-0.249977111117893"/>
        <bgColor theme="0" tint="-0.24994659260841701"/>
      </patternFill>
    </fill>
    <fill>
      <patternFill patternType="solid">
        <fgColor rgb="FFFFFFFF"/>
        <bgColor rgb="FFFFFFFF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4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4" borderId="0" xfId="0" quotePrefix="1" applyFont="1" applyFill="1" applyAlignment="1">
      <alignment horizontal="center" vertical="center"/>
    </xf>
    <xf numFmtId="16" fontId="5" fillId="4" borderId="0" xfId="0" quotePrefix="1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4" fillId="5" borderId="4" xfId="0" quotePrefix="1" applyFont="1" applyFill="1" applyBorder="1" applyAlignment="1">
      <alignment horizontal="center" vertical="center"/>
    </xf>
    <xf numFmtId="16" fontId="5" fillId="5" borderId="5" xfId="0" quotePrefix="1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9" fontId="2" fillId="0" borderId="4" xfId="1" applyFont="1" applyBorder="1" applyAlignment="1" applyProtection="1">
      <alignment horizontal="center" vertical="center"/>
      <protection locked="0"/>
    </xf>
    <xf numFmtId="0" fontId="7" fillId="6" borderId="3" xfId="0" applyFont="1" applyFill="1" applyBorder="1" applyAlignment="1">
      <alignment horizontal="center" vertical="center"/>
    </xf>
    <xf numFmtId="9" fontId="2" fillId="6" borderId="4" xfId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Porcentagem" xfId="1" builtinId="5"/>
  </cellStyles>
  <dxfs count="4">
    <dxf>
      <fill>
        <gradientFill degree="315">
          <stop position="0">
            <color theme="5" tint="0.80001220740379042"/>
          </stop>
          <stop position="1">
            <color theme="5" tint="0.40000610370189521"/>
          </stop>
        </gradientFill>
      </fill>
    </dxf>
    <dxf>
      <fill>
        <gradientFill degree="315">
          <stop position="0">
            <color theme="5" tint="0.80001220740379042"/>
          </stop>
          <stop position="1">
            <color theme="5" tint="0.40000610370189521"/>
          </stop>
        </gradientFill>
      </fill>
    </dxf>
    <dxf>
      <fill>
        <gradientFill degree="315">
          <stop position="0">
            <color theme="5" tint="0.80001220740379042"/>
          </stop>
          <stop position="1">
            <color theme="5" tint="0.40000610370189521"/>
          </stop>
        </gradientFill>
      </fill>
    </dxf>
    <dxf>
      <fill>
        <gradientFill degree="315">
          <stop position="0">
            <color theme="5" tint="0.80001220740379042"/>
          </stop>
          <stop position="1">
            <color theme="5" tint="0.40000610370189521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2</xdr:col>
      <xdr:colOff>399132</xdr:colOff>
      <xdr:row>3</xdr:row>
      <xdr:rowOff>143764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76200"/>
          <a:ext cx="1008732" cy="639064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I\00-AdmTI\16-PowerBI\teste\Teste_H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ções Importar A1SYS 1"/>
      <sheetName val="Instruções Gerais"/>
      <sheetName val="Calendário"/>
      <sheetName val="Validação"/>
      <sheetName val="Linha de Base"/>
      <sheetName val="Histograma %"/>
      <sheetName val="Efetivo A1"/>
      <sheetName val="Orçado"/>
      <sheetName val="A1SYS"/>
      <sheetName val="Planilha1"/>
      <sheetName val="OCVs 2202"/>
      <sheetName val="Gráficos"/>
      <sheetName val="OCVs 2203"/>
      <sheetName val="Histograma HH"/>
      <sheetName val="Softwares"/>
      <sheetName val="Previsto_Real"/>
      <sheetName val="Importar_A1sys"/>
      <sheetName val="Cust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B11"/>
  <sheetViews>
    <sheetView showGridLines="0" tabSelected="1" topLeftCell="A3" workbookViewId="0">
      <selection activeCell="G9" sqref="G9"/>
    </sheetView>
  </sheetViews>
  <sheetFormatPr defaultRowHeight="15" x14ac:dyDescent="0.25"/>
  <cols>
    <col min="1" max="1" width="4.7109375" customWidth="1"/>
    <col min="2" max="2" width="13" customWidth="1"/>
    <col min="3" max="3" width="25" customWidth="1"/>
    <col min="4" max="4" width="32" customWidth="1"/>
    <col min="5" max="5" width="14" customWidth="1"/>
    <col min="6" max="6" width="19" customWidth="1"/>
    <col min="7" max="7" width="35" customWidth="1"/>
    <col min="8" max="10" width="13" customWidth="1"/>
    <col min="11" max="11" width="17" bestFit="1" customWidth="1"/>
    <col min="12" max="157" width="13" customWidth="1"/>
  </cols>
  <sheetData>
    <row r="1" spans="1:158" x14ac:dyDescent="0.25">
      <c r="A1" s="1"/>
      <c r="B1" s="2"/>
      <c r="C1" s="2"/>
      <c r="D1" s="1"/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</row>
    <row r="2" spans="1:158" x14ac:dyDescent="0.25">
      <c r="A2" s="1"/>
      <c r="B2" s="2"/>
      <c r="C2" s="2"/>
      <c r="D2" s="1"/>
      <c r="E2" s="1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CB2" s="3"/>
      <c r="CC2" s="4" t="s">
        <v>0</v>
      </c>
      <c r="CD2" s="4" t="s">
        <v>1</v>
      </c>
      <c r="CE2" s="4" t="s">
        <v>2</v>
      </c>
      <c r="CF2" s="4" t="s">
        <v>3</v>
      </c>
      <c r="CG2" s="4" t="s">
        <v>4</v>
      </c>
      <c r="CH2" s="4" t="s">
        <v>5</v>
      </c>
      <c r="CI2" s="4" t="s">
        <v>6</v>
      </c>
      <c r="CJ2" s="4" t="s">
        <v>7</v>
      </c>
      <c r="CK2" s="4" t="s">
        <v>8</v>
      </c>
      <c r="CL2" s="4" t="s">
        <v>9</v>
      </c>
      <c r="CM2" s="4" t="s">
        <v>10</v>
      </c>
      <c r="CN2" s="4" t="s">
        <v>11</v>
      </c>
      <c r="CO2" s="4" t="s">
        <v>12</v>
      </c>
      <c r="CP2" s="4" t="s">
        <v>13</v>
      </c>
      <c r="CQ2" s="4" t="s">
        <v>14</v>
      </c>
      <c r="CR2" s="4" t="s">
        <v>15</v>
      </c>
      <c r="CS2" s="4" t="s">
        <v>16</v>
      </c>
      <c r="CT2" s="4" t="s">
        <v>17</v>
      </c>
      <c r="CU2" s="4" t="s">
        <v>18</v>
      </c>
      <c r="CV2" s="4" t="s">
        <v>19</v>
      </c>
      <c r="CW2" s="4" t="s">
        <v>20</v>
      </c>
      <c r="CX2" s="4" t="s">
        <v>21</v>
      </c>
      <c r="CY2" s="4" t="s">
        <v>22</v>
      </c>
      <c r="CZ2" s="4" t="s">
        <v>23</v>
      </c>
      <c r="DA2" s="4" t="s">
        <v>24</v>
      </c>
      <c r="DB2" s="4" t="s">
        <v>25</v>
      </c>
      <c r="DC2" s="4" t="s">
        <v>26</v>
      </c>
      <c r="DD2" s="4" t="s">
        <v>27</v>
      </c>
      <c r="DE2" s="4" t="s">
        <v>28</v>
      </c>
      <c r="DF2" s="4" t="s">
        <v>29</v>
      </c>
      <c r="DG2" s="4" t="s">
        <v>30</v>
      </c>
      <c r="DH2" s="4" t="s">
        <v>31</v>
      </c>
      <c r="DI2" s="4" t="s">
        <v>32</v>
      </c>
      <c r="DJ2" s="4" t="s">
        <v>33</v>
      </c>
      <c r="DK2" s="4" t="s">
        <v>34</v>
      </c>
      <c r="DL2" s="4" t="s">
        <v>35</v>
      </c>
      <c r="DM2" s="4" t="s">
        <v>36</v>
      </c>
      <c r="DN2" s="4" t="s">
        <v>37</v>
      </c>
      <c r="DO2" s="4" t="s">
        <v>38</v>
      </c>
      <c r="DP2" s="4" t="s">
        <v>39</v>
      </c>
      <c r="DQ2" s="4" t="s">
        <v>40</v>
      </c>
      <c r="DR2" s="4" t="s">
        <v>41</v>
      </c>
      <c r="DS2" s="4" t="s">
        <v>42</v>
      </c>
      <c r="DT2" s="4" t="s">
        <v>43</v>
      </c>
      <c r="DU2" s="4" t="s">
        <v>44</v>
      </c>
      <c r="DV2" s="4" t="s">
        <v>45</v>
      </c>
      <c r="DW2" s="4" t="s">
        <v>46</v>
      </c>
      <c r="DX2" s="4" t="s">
        <v>47</v>
      </c>
      <c r="DY2" s="4" t="s">
        <v>48</v>
      </c>
      <c r="DZ2" s="4" t="s">
        <v>49</v>
      </c>
      <c r="EA2" s="4" t="s">
        <v>50</v>
      </c>
      <c r="EB2" s="4" t="s">
        <v>51</v>
      </c>
      <c r="EC2" s="4" t="s">
        <v>52</v>
      </c>
      <c r="ED2" s="4" t="s">
        <v>53</v>
      </c>
      <c r="EE2" s="4" t="s">
        <v>54</v>
      </c>
      <c r="EF2" s="4" t="s">
        <v>55</v>
      </c>
      <c r="EG2" s="4" t="s">
        <v>56</v>
      </c>
      <c r="EH2" s="4" t="s">
        <v>57</v>
      </c>
      <c r="EI2" s="4" t="s">
        <v>58</v>
      </c>
      <c r="EJ2" s="4" t="s">
        <v>59</v>
      </c>
      <c r="EK2" s="4" t="s">
        <v>60</v>
      </c>
      <c r="EL2" s="4" t="s">
        <v>61</v>
      </c>
      <c r="EM2" s="4" t="s">
        <v>62</v>
      </c>
      <c r="EN2" s="4" t="s">
        <v>63</v>
      </c>
      <c r="EO2" s="4" t="s">
        <v>64</v>
      </c>
      <c r="EP2" s="4" t="s">
        <v>65</v>
      </c>
      <c r="EQ2" s="4" t="s">
        <v>66</v>
      </c>
      <c r="ER2" s="4" t="s">
        <v>67</v>
      </c>
      <c r="ES2" s="4" t="s">
        <v>68</v>
      </c>
      <c r="ET2" s="4" t="s">
        <v>69</v>
      </c>
      <c r="EU2" s="4" t="s">
        <v>70</v>
      </c>
      <c r="EV2" s="4" t="s">
        <v>71</v>
      </c>
      <c r="EW2" s="4" t="s">
        <v>72</v>
      </c>
      <c r="EX2" s="4" t="s">
        <v>73</v>
      </c>
      <c r="EY2" s="4" t="s">
        <v>74</v>
      </c>
      <c r="EZ2" s="4" t="s">
        <v>75</v>
      </c>
      <c r="FA2" s="4" t="s">
        <v>76</v>
      </c>
      <c r="FB2" s="4" t="s">
        <v>77</v>
      </c>
    </row>
    <row r="3" spans="1:158" x14ac:dyDescent="0.25">
      <c r="A3" s="1"/>
      <c r="B3" s="2"/>
      <c r="C3" s="2"/>
      <c r="D3" s="1"/>
      <c r="E3" s="1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</row>
    <row r="4" spans="1:158" x14ac:dyDescent="0.25">
      <c r="A4" s="1"/>
      <c r="B4" s="2"/>
      <c r="C4" s="2"/>
      <c r="D4" s="1"/>
      <c r="E4" s="1"/>
      <c r="F4" s="3"/>
      <c r="G4" s="3"/>
      <c r="H4" s="3"/>
      <c r="I4" s="3"/>
      <c r="J4" s="3"/>
      <c r="K4" s="3"/>
      <c r="L4" s="3"/>
      <c r="M4" s="3"/>
      <c r="N4" s="16" t="str">
        <f>INDEX([1]!CALENDARIO[#Data],MATCH(N5,[1]!CALENDARIO[Data],0),2)</f>
        <v>Ago/22</v>
      </c>
      <c r="O4" s="16" t="str">
        <f>INDEX([1]!CALENDARIO[#Data],MATCH(O5,[1]!CALENDARIO[Data],0),2)</f>
        <v>Ago/22</v>
      </c>
      <c r="P4" s="16" t="str">
        <f>INDEX([1]!CALENDARIO[#Data],MATCH(P5,[1]!CALENDARIO[Data],0),2)</f>
        <v>Ago/22</v>
      </c>
      <c r="Q4" s="16" t="str">
        <f>INDEX([1]!CALENDARIO[#Data],MATCH(Q5,[1]!CALENDARIO[Data],0),2)</f>
        <v>Ago/22</v>
      </c>
      <c r="R4" s="16" t="str">
        <f>INDEX([1]!CALENDARIO[#Data],MATCH(R5,[1]!CALENDARIO[Data],0),2)</f>
        <v>Ago/22</v>
      </c>
      <c r="S4" s="16" t="str">
        <f>INDEX([1]!CALENDARIO[#Data],MATCH(S5,[1]!CALENDARIO[Data],0),2)</f>
        <v>Set/22</v>
      </c>
      <c r="T4" s="16" t="str">
        <f>INDEX([1]!CALENDARIO[#Data],MATCH(T5,[1]!CALENDARIO[Data],0),2)</f>
        <v>Set/22</v>
      </c>
      <c r="U4" s="16" t="str">
        <f>INDEX([1]!CALENDARIO[#Data],MATCH(U5,[1]!CALENDARIO[Data],0),2)</f>
        <v>Set/22</v>
      </c>
      <c r="V4" s="16" t="str">
        <f>INDEX([1]!CALENDARIO[#Data],MATCH(V5,[1]!CALENDARIO[Data],0),2)</f>
        <v>Set/22</v>
      </c>
      <c r="W4" s="16" t="str">
        <f>INDEX([1]!CALENDARIO[#Data],MATCH(W5,[1]!CALENDARIO[Data],0),2)</f>
        <v>Out/22</v>
      </c>
      <c r="X4" s="16" t="str">
        <f>INDEX([1]!CALENDARIO[#Data],MATCH(X5,[1]!CALENDARIO[Data],0),2)</f>
        <v>Out/22</v>
      </c>
      <c r="Y4" s="16" t="str">
        <f>INDEX([1]!CALENDARIO[#Data],MATCH(Y5,[1]!CALENDARIO[Data],0),2)</f>
        <v>Out/22</v>
      </c>
      <c r="Z4" s="16" t="str">
        <f>INDEX([1]!CALENDARIO[#Data],MATCH(Z5,[1]!CALENDARIO[Data],0),2)</f>
        <v>Out/22</v>
      </c>
      <c r="AA4" s="16" t="str">
        <f>INDEX([1]!CALENDARIO[#Data],MATCH(AA5,[1]!CALENDARIO[Data],0),2)</f>
        <v>Out/22</v>
      </c>
      <c r="AB4" s="16" t="str">
        <f>INDEX([1]!CALENDARIO[#Data],MATCH(AB5,[1]!CALENDARIO[Data],0),2)</f>
        <v>Nov/22</v>
      </c>
      <c r="AC4" s="16" t="str">
        <f>INDEX([1]!CALENDARIO[#Data],MATCH(AC5,[1]!CALENDARIO[Data],0),2)</f>
        <v>Nov/22</v>
      </c>
      <c r="AD4" s="16" t="str">
        <f>INDEX([1]!CALENDARIO[#Data],MATCH(AD5,[1]!CALENDARIO[Data],0),2)</f>
        <v>Nov/22</v>
      </c>
      <c r="AE4" s="16" t="str">
        <f>INDEX([1]!CALENDARIO[#Data],MATCH(AE5,[1]!CALENDARIO[Data],0),2)</f>
        <v>Nov/22</v>
      </c>
      <c r="AF4" s="16" t="str">
        <f>INDEX([1]!CALENDARIO[#Data],MATCH(AF5,[1]!CALENDARIO[Data],0),2)</f>
        <v>Dez/22</v>
      </c>
      <c r="AG4" s="16" t="str">
        <f>INDEX([1]!CALENDARIO[#Data],MATCH(AG5,[1]!CALENDARIO[Data],0),2)</f>
        <v>Dez/22</v>
      </c>
      <c r="AH4" s="16" t="str">
        <f>INDEX([1]!CALENDARIO[#Data],MATCH(AH5,[1]!CALENDARIO[Data],0),2)</f>
        <v>Dez/22</v>
      </c>
      <c r="AI4" s="16" t="str">
        <f>INDEX([1]!CALENDARIO[#Data],MATCH(AI5,[1]!CALENDARIO[Data],0),2)</f>
        <v>Dez/22</v>
      </c>
      <c r="AJ4" s="16" t="str">
        <f>INDEX([1]!CALENDARIO[#Data],MATCH(AJ5,[1]!CALENDARIO[Data],0),2)</f>
        <v>Jan/23</v>
      </c>
      <c r="AK4" s="16" t="str">
        <f>INDEX([1]!CALENDARIO[#Data],MATCH(AK5,[1]!CALENDARIO[Data],0),2)</f>
        <v>Jan/23</v>
      </c>
      <c r="AL4" s="16" t="str">
        <f>INDEX([1]!CALENDARIO[#Data],MATCH(AL5,[1]!CALENDARIO[Data],0),2)</f>
        <v>Jan/23</v>
      </c>
      <c r="AM4" s="16" t="str">
        <f>INDEX([1]!CALENDARIO[#Data],MATCH(AM5,[1]!CALENDARIO[Data],0),2)</f>
        <v>Jan/23</v>
      </c>
      <c r="AN4" s="16" t="str">
        <f>INDEX([1]!CALENDARIO[#Data],MATCH(AN5,[1]!CALENDARIO[Data],0),2)</f>
        <v>Jan/23</v>
      </c>
      <c r="AO4" s="16" t="str">
        <f>INDEX([1]!CALENDARIO[#Data],MATCH(AO5,[1]!CALENDARIO[Data],0),2)</f>
        <v>Fev/23</v>
      </c>
      <c r="AP4" s="16" t="str">
        <f>INDEX([1]!CALENDARIO[#Data],MATCH(AP5,[1]!CALENDARIO[Data],0),2)</f>
        <v>Fev/23</v>
      </c>
      <c r="AQ4" s="16" t="str">
        <f>INDEX([1]!CALENDARIO[#Data],MATCH(AQ5,[1]!CALENDARIO[Data],0),2)</f>
        <v>Fev/23</v>
      </c>
      <c r="AR4" s="16" t="str">
        <f>INDEX([1]!CALENDARIO[#Data],MATCH(AR5,[1]!CALENDARIO[Data],0),2)</f>
        <v>Fev/23</v>
      </c>
      <c r="AS4" s="16" t="str">
        <f>INDEX([1]!CALENDARIO[#Data],MATCH(AS5,[1]!CALENDARIO[Data],0),2)</f>
        <v>Mar/23</v>
      </c>
      <c r="AT4" s="16" t="str">
        <f>INDEX([1]!CALENDARIO[#Data],MATCH(AT5,[1]!CALENDARIO[Data],0),2)</f>
        <v>Mar/23</v>
      </c>
      <c r="AU4" s="16" t="str">
        <f>INDEX([1]!CALENDARIO[#Data],MATCH(AU5,[1]!CALENDARIO[Data],0),2)</f>
        <v>Mar/23</v>
      </c>
      <c r="AV4" s="16" t="str">
        <f>INDEX([1]!CALENDARIO[#Data],MATCH(AV5,[1]!CALENDARIO[Data],0),2)</f>
        <v>Mar/23</v>
      </c>
      <c r="AW4" s="16" t="str">
        <f>INDEX([1]!CALENDARIO[#Data],MATCH(AW5,[1]!CALENDARIO[Data],0),2)</f>
        <v>Abr/23</v>
      </c>
      <c r="AX4" s="16" t="str">
        <f>INDEX([1]!CALENDARIO[#Data],MATCH(AX5,[1]!CALENDARIO[Data],0),2)</f>
        <v>Abr/23</v>
      </c>
      <c r="AY4" s="16" t="str">
        <f>INDEX([1]!CALENDARIO[#Data],MATCH(AY5,[1]!CALENDARIO[Data],0),2)</f>
        <v>Abr/23</v>
      </c>
      <c r="AZ4" s="16" t="str">
        <f>INDEX([1]!CALENDARIO[#Data],MATCH(AZ5,[1]!CALENDARIO[Data],0),2)</f>
        <v>Abr/23</v>
      </c>
      <c r="BA4" s="16" t="str">
        <f>INDEX([1]!CALENDARIO[#Data],MATCH(BA5,[1]!CALENDARIO[Data],0),2)</f>
        <v>Mai/23</v>
      </c>
      <c r="BB4" s="16" t="str">
        <f>INDEX([1]!CALENDARIO[#Data],MATCH(BB5,[1]!CALENDARIO[Data],0),2)</f>
        <v>Mai/23</v>
      </c>
      <c r="BC4" s="16" t="str">
        <f>INDEX([1]!CALENDARIO[#Data],MATCH(BC5,[1]!CALENDARIO[Data],0),2)</f>
        <v>Mai/23</v>
      </c>
      <c r="BD4" s="16" t="str">
        <f>INDEX([1]!CALENDARIO[#Data],MATCH(BD5,[1]!CALENDARIO[Data],0),2)</f>
        <v>Mai/23</v>
      </c>
      <c r="BE4" s="16" t="str">
        <f>INDEX([1]!CALENDARIO[#Data],MATCH(BE5,[1]!CALENDARIO[Data],0),2)</f>
        <v>Mai/23</v>
      </c>
      <c r="BF4" s="16" t="str">
        <f>INDEX([1]!CALENDARIO[#Data],MATCH(BF5,[1]!CALENDARIO[Data],0),2)</f>
        <v>Jun/23</v>
      </c>
      <c r="BG4" s="16" t="str">
        <f>INDEX([1]!CALENDARIO[#Data],MATCH(BG5,[1]!CALENDARIO[Data],0),2)</f>
        <v>Jun/23</v>
      </c>
      <c r="BH4" s="16" t="str">
        <f>INDEX([1]!CALENDARIO[#Data],MATCH(BH5,[1]!CALENDARIO[Data],0),2)</f>
        <v>Jun/23</v>
      </c>
      <c r="BI4" s="16" t="str">
        <f>INDEX([1]!CALENDARIO[#Data],MATCH(BI5,[1]!CALENDARIO[Data],0),2)</f>
        <v>Jun/23</v>
      </c>
      <c r="BJ4" s="16" t="str">
        <f>INDEX([1]!CALENDARIO[#Data],MATCH(BJ5,[1]!CALENDARIO[Data],0),2)</f>
        <v>Jul/23</v>
      </c>
      <c r="BK4" s="16" t="str">
        <f>INDEX([1]!CALENDARIO[#Data],MATCH(BK5,[1]!CALENDARIO[Data],0),2)</f>
        <v>Jul/23</v>
      </c>
      <c r="BL4" s="16" t="str">
        <f>INDEX([1]!CALENDARIO[#Data],MATCH(BL5,[1]!CALENDARIO[Data],0),2)</f>
        <v>Jul/23</v>
      </c>
      <c r="BM4" s="16" t="str">
        <f>INDEX([1]!CALENDARIO[#Data],MATCH(BM5,[1]!CALENDARIO[Data],0),2)</f>
        <v>Jul/23</v>
      </c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</row>
    <row r="5" spans="1:158" x14ac:dyDescent="0.25">
      <c r="A5" s="1"/>
      <c r="B5" s="5"/>
      <c r="C5" s="6"/>
      <c r="D5" s="6"/>
      <c r="E5" s="7"/>
      <c r="F5" s="7"/>
      <c r="G5" s="6"/>
      <c r="H5" s="6"/>
      <c r="I5" s="7"/>
      <c r="J5" s="7"/>
      <c r="K5" s="6"/>
      <c r="L5" s="7"/>
      <c r="M5" s="7"/>
      <c r="N5" s="17">
        <v>44774</v>
      </c>
      <c r="O5" s="17">
        <f t="shared" ref="N5:AH5" si="0">N5+7</f>
        <v>44781</v>
      </c>
      <c r="P5" s="17">
        <f t="shared" si="0"/>
        <v>44788</v>
      </c>
      <c r="Q5" s="17">
        <f t="shared" si="0"/>
        <v>44795</v>
      </c>
      <c r="R5" s="17">
        <f t="shared" si="0"/>
        <v>44802</v>
      </c>
      <c r="S5" s="17">
        <f t="shared" si="0"/>
        <v>44809</v>
      </c>
      <c r="T5" s="17">
        <f t="shared" si="0"/>
        <v>44816</v>
      </c>
      <c r="U5" s="17">
        <f t="shared" si="0"/>
        <v>44823</v>
      </c>
      <c r="V5" s="17">
        <f t="shared" si="0"/>
        <v>44830</v>
      </c>
      <c r="W5" s="17">
        <f t="shared" si="0"/>
        <v>44837</v>
      </c>
      <c r="X5" s="17">
        <f t="shared" si="0"/>
        <v>44844</v>
      </c>
      <c r="Y5" s="17">
        <f t="shared" si="0"/>
        <v>44851</v>
      </c>
      <c r="Z5" s="17">
        <f t="shared" si="0"/>
        <v>44858</v>
      </c>
      <c r="AA5" s="17">
        <f t="shared" si="0"/>
        <v>44865</v>
      </c>
      <c r="AB5" s="17">
        <f t="shared" si="0"/>
        <v>44872</v>
      </c>
      <c r="AC5" s="17">
        <f t="shared" si="0"/>
        <v>44879</v>
      </c>
      <c r="AD5" s="17">
        <f t="shared" si="0"/>
        <v>44886</v>
      </c>
      <c r="AE5" s="17">
        <f t="shared" si="0"/>
        <v>44893</v>
      </c>
      <c r="AF5" s="17">
        <f t="shared" si="0"/>
        <v>44900</v>
      </c>
      <c r="AG5" s="17">
        <f t="shared" si="0"/>
        <v>44907</v>
      </c>
      <c r="AH5" s="17">
        <f t="shared" si="0"/>
        <v>44914</v>
      </c>
      <c r="AI5" s="17">
        <f>AH5+7</f>
        <v>44921</v>
      </c>
      <c r="AJ5" s="17">
        <f t="shared" ref="AJ5:BM5" si="1">AI5+7</f>
        <v>44928</v>
      </c>
      <c r="AK5" s="17">
        <f t="shared" si="1"/>
        <v>44935</v>
      </c>
      <c r="AL5" s="17">
        <f t="shared" si="1"/>
        <v>44942</v>
      </c>
      <c r="AM5" s="17">
        <f t="shared" si="1"/>
        <v>44949</v>
      </c>
      <c r="AN5" s="17">
        <f t="shared" si="1"/>
        <v>44956</v>
      </c>
      <c r="AO5" s="17">
        <f t="shared" si="1"/>
        <v>44963</v>
      </c>
      <c r="AP5" s="17">
        <f t="shared" si="1"/>
        <v>44970</v>
      </c>
      <c r="AQ5" s="17">
        <f t="shared" si="1"/>
        <v>44977</v>
      </c>
      <c r="AR5" s="17">
        <f t="shared" si="1"/>
        <v>44984</v>
      </c>
      <c r="AS5" s="17">
        <f t="shared" si="1"/>
        <v>44991</v>
      </c>
      <c r="AT5" s="17">
        <f t="shared" si="1"/>
        <v>44998</v>
      </c>
      <c r="AU5" s="17">
        <f t="shared" si="1"/>
        <v>45005</v>
      </c>
      <c r="AV5" s="17">
        <f t="shared" si="1"/>
        <v>45012</v>
      </c>
      <c r="AW5" s="17">
        <f t="shared" si="1"/>
        <v>45019</v>
      </c>
      <c r="AX5" s="17">
        <f t="shared" si="1"/>
        <v>45026</v>
      </c>
      <c r="AY5" s="17">
        <f t="shared" si="1"/>
        <v>45033</v>
      </c>
      <c r="AZ5" s="17">
        <f t="shared" si="1"/>
        <v>45040</v>
      </c>
      <c r="BA5" s="17">
        <f t="shared" si="1"/>
        <v>45047</v>
      </c>
      <c r="BB5" s="17">
        <f t="shared" si="1"/>
        <v>45054</v>
      </c>
      <c r="BC5" s="17">
        <f t="shared" si="1"/>
        <v>45061</v>
      </c>
      <c r="BD5" s="17">
        <f t="shared" si="1"/>
        <v>45068</v>
      </c>
      <c r="BE5" s="17">
        <f t="shared" si="1"/>
        <v>45075</v>
      </c>
      <c r="BF5" s="17">
        <f t="shared" si="1"/>
        <v>45082</v>
      </c>
      <c r="BG5" s="17">
        <f t="shared" si="1"/>
        <v>45089</v>
      </c>
      <c r="BH5" s="17">
        <f t="shared" si="1"/>
        <v>45096</v>
      </c>
      <c r="BI5" s="17">
        <f t="shared" si="1"/>
        <v>45103</v>
      </c>
      <c r="BJ5" s="17">
        <f t="shared" si="1"/>
        <v>45110</v>
      </c>
      <c r="BK5" s="17">
        <f t="shared" si="1"/>
        <v>45117</v>
      </c>
      <c r="BL5" s="17">
        <f t="shared" si="1"/>
        <v>45124</v>
      </c>
      <c r="BM5" s="17">
        <f t="shared" si="1"/>
        <v>45131</v>
      </c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</row>
    <row r="6" spans="1:158" x14ac:dyDescent="0.25">
      <c r="A6" s="1"/>
      <c r="B6" s="5"/>
      <c r="C6" s="6"/>
      <c r="D6" s="6"/>
      <c r="E6" s="7"/>
      <c r="F6" s="7"/>
      <c r="G6" s="6"/>
      <c r="H6" s="6"/>
      <c r="I6" s="7"/>
      <c r="J6" s="7"/>
      <c r="K6" s="6"/>
      <c r="L6" s="7"/>
      <c r="M6" s="7"/>
      <c r="N6" s="17">
        <f t="shared" ref="N6:BM6" si="2">N5+6</f>
        <v>44780</v>
      </c>
      <c r="O6" s="17">
        <f t="shared" si="2"/>
        <v>44787</v>
      </c>
      <c r="P6" s="17">
        <f t="shared" si="2"/>
        <v>44794</v>
      </c>
      <c r="Q6" s="17">
        <f t="shared" si="2"/>
        <v>44801</v>
      </c>
      <c r="R6" s="17">
        <f t="shared" si="2"/>
        <v>44808</v>
      </c>
      <c r="S6" s="17">
        <f t="shared" si="2"/>
        <v>44815</v>
      </c>
      <c r="T6" s="17">
        <f t="shared" si="2"/>
        <v>44822</v>
      </c>
      <c r="U6" s="17">
        <f t="shared" si="2"/>
        <v>44829</v>
      </c>
      <c r="V6" s="17">
        <f t="shared" si="2"/>
        <v>44836</v>
      </c>
      <c r="W6" s="17">
        <f t="shared" si="2"/>
        <v>44843</v>
      </c>
      <c r="X6" s="17">
        <f t="shared" si="2"/>
        <v>44850</v>
      </c>
      <c r="Y6" s="17">
        <f t="shared" si="2"/>
        <v>44857</v>
      </c>
      <c r="Z6" s="17">
        <f t="shared" si="2"/>
        <v>44864</v>
      </c>
      <c r="AA6" s="17">
        <f t="shared" si="2"/>
        <v>44871</v>
      </c>
      <c r="AB6" s="17">
        <f t="shared" si="2"/>
        <v>44878</v>
      </c>
      <c r="AC6" s="17">
        <f t="shared" si="2"/>
        <v>44885</v>
      </c>
      <c r="AD6" s="17">
        <f t="shared" si="2"/>
        <v>44892</v>
      </c>
      <c r="AE6" s="17">
        <f t="shared" si="2"/>
        <v>44899</v>
      </c>
      <c r="AF6" s="17">
        <f t="shared" si="2"/>
        <v>44906</v>
      </c>
      <c r="AG6" s="17">
        <f t="shared" si="2"/>
        <v>44913</v>
      </c>
      <c r="AH6" s="17">
        <f t="shared" si="2"/>
        <v>44920</v>
      </c>
      <c r="AI6" s="17">
        <f t="shared" si="2"/>
        <v>44927</v>
      </c>
      <c r="AJ6" s="17">
        <f t="shared" si="2"/>
        <v>44934</v>
      </c>
      <c r="AK6" s="17">
        <f t="shared" si="2"/>
        <v>44941</v>
      </c>
      <c r="AL6" s="17">
        <f t="shared" si="2"/>
        <v>44948</v>
      </c>
      <c r="AM6" s="17">
        <f t="shared" si="2"/>
        <v>44955</v>
      </c>
      <c r="AN6" s="17">
        <f t="shared" si="2"/>
        <v>44962</v>
      </c>
      <c r="AO6" s="17">
        <f t="shared" si="2"/>
        <v>44969</v>
      </c>
      <c r="AP6" s="17">
        <f t="shared" si="2"/>
        <v>44976</v>
      </c>
      <c r="AQ6" s="17">
        <f t="shared" si="2"/>
        <v>44983</v>
      </c>
      <c r="AR6" s="17">
        <f t="shared" si="2"/>
        <v>44990</v>
      </c>
      <c r="AS6" s="17">
        <f t="shared" si="2"/>
        <v>44997</v>
      </c>
      <c r="AT6" s="17">
        <f t="shared" si="2"/>
        <v>45004</v>
      </c>
      <c r="AU6" s="17">
        <f t="shared" si="2"/>
        <v>45011</v>
      </c>
      <c r="AV6" s="17">
        <f t="shared" si="2"/>
        <v>45018</v>
      </c>
      <c r="AW6" s="17">
        <f t="shared" si="2"/>
        <v>45025</v>
      </c>
      <c r="AX6" s="17">
        <f t="shared" si="2"/>
        <v>45032</v>
      </c>
      <c r="AY6" s="17">
        <f t="shared" si="2"/>
        <v>45039</v>
      </c>
      <c r="AZ6" s="17">
        <f t="shared" si="2"/>
        <v>45046</v>
      </c>
      <c r="BA6" s="17">
        <f t="shared" si="2"/>
        <v>45053</v>
      </c>
      <c r="BB6" s="17">
        <f t="shared" si="2"/>
        <v>45060</v>
      </c>
      <c r="BC6" s="17">
        <f t="shared" si="2"/>
        <v>45067</v>
      </c>
      <c r="BD6" s="17">
        <f t="shared" si="2"/>
        <v>45074</v>
      </c>
      <c r="BE6" s="17">
        <f t="shared" si="2"/>
        <v>45081</v>
      </c>
      <c r="BF6" s="17">
        <f t="shared" si="2"/>
        <v>45088</v>
      </c>
      <c r="BG6" s="17">
        <f t="shared" si="2"/>
        <v>45095</v>
      </c>
      <c r="BH6" s="17">
        <f t="shared" si="2"/>
        <v>45102</v>
      </c>
      <c r="BI6" s="17">
        <f t="shared" si="2"/>
        <v>45109</v>
      </c>
      <c r="BJ6" s="17">
        <f t="shared" si="2"/>
        <v>45116</v>
      </c>
      <c r="BK6" s="17">
        <f t="shared" si="2"/>
        <v>45123</v>
      </c>
      <c r="BL6" s="17">
        <f t="shared" si="2"/>
        <v>45130</v>
      </c>
      <c r="BM6" s="17">
        <f t="shared" si="2"/>
        <v>45137</v>
      </c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</row>
    <row r="7" spans="1:158" x14ac:dyDescent="0.25">
      <c r="A7" s="1"/>
      <c r="B7" s="5"/>
      <c r="C7" s="6"/>
      <c r="D7" s="6"/>
      <c r="E7" s="7"/>
      <c r="F7" s="7"/>
      <c r="G7" s="6"/>
      <c r="H7" s="6"/>
      <c r="I7" s="7"/>
      <c r="J7" s="7"/>
      <c r="K7" s="6"/>
      <c r="L7" s="7"/>
      <c r="M7" s="7"/>
      <c r="N7" s="18">
        <f t="shared" ref="N7:BE7" si="3">IF(LEN(WEEKNUM(N$5))=1,0&amp;WEEKNUM(N$5),WEEKNUM(N$5,1))</f>
        <v>32</v>
      </c>
      <c r="O7" s="18">
        <f t="shared" si="3"/>
        <v>33</v>
      </c>
      <c r="P7" s="18">
        <f t="shared" si="3"/>
        <v>34</v>
      </c>
      <c r="Q7" s="18">
        <f t="shared" si="3"/>
        <v>35</v>
      </c>
      <c r="R7" s="18">
        <f t="shared" si="3"/>
        <v>36</v>
      </c>
      <c r="S7" s="18">
        <f t="shared" si="3"/>
        <v>37</v>
      </c>
      <c r="T7" s="18">
        <f t="shared" si="3"/>
        <v>38</v>
      </c>
      <c r="U7" s="18">
        <f t="shared" si="3"/>
        <v>39</v>
      </c>
      <c r="V7" s="18">
        <f t="shared" si="3"/>
        <v>40</v>
      </c>
      <c r="W7" s="18">
        <f t="shared" si="3"/>
        <v>41</v>
      </c>
      <c r="X7" s="18">
        <f t="shared" si="3"/>
        <v>42</v>
      </c>
      <c r="Y7" s="18">
        <f t="shared" si="3"/>
        <v>43</v>
      </c>
      <c r="Z7" s="18">
        <f t="shared" si="3"/>
        <v>44</v>
      </c>
      <c r="AA7" s="18">
        <f t="shared" si="3"/>
        <v>45</v>
      </c>
      <c r="AB7" s="18">
        <f t="shared" si="3"/>
        <v>46</v>
      </c>
      <c r="AC7" s="18">
        <f t="shared" si="3"/>
        <v>47</v>
      </c>
      <c r="AD7" s="18">
        <f t="shared" si="3"/>
        <v>48</v>
      </c>
      <c r="AE7" s="18">
        <f t="shared" si="3"/>
        <v>49</v>
      </c>
      <c r="AF7" s="18">
        <f t="shared" si="3"/>
        <v>50</v>
      </c>
      <c r="AG7" s="18">
        <f t="shared" si="3"/>
        <v>51</v>
      </c>
      <c r="AH7" s="18">
        <f t="shared" si="3"/>
        <v>52</v>
      </c>
      <c r="AI7" s="18">
        <f>IF(LEN(WEEKNUM(AI$5))=1,0&amp;WEEKNUM(AI$5),WEEKNUM(AI$5,1))</f>
        <v>53</v>
      </c>
      <c r="AJ7" s="18" t="str">
        <f t="shared" ref="AJ7:AO7" si="4">IF(LEN(WEEKNUM(AJ$5))=1,0&amp;WEEKNUM(AJ$5),WEEKNUM(AJ$5,1))</f>
        <v>01</v>
      </c>
      <c r="AK7" s="18" t="str">
        <f t="shared" si="4"/>
        <v>02</v>
      </c>
      <c r="AL7" s="18" t="str">
        <f t="shared" si="4"/>
        <v>03</v>
      </c>
      <c r="AM7" s="18" t="str">
        <f t="shared" si="4"/>
        <v>04</v>
      </c>
      <c r="AN7" s="18" t="str">
        <f t="shared" si="4"/>
        <v>05</v>
      </c>
      <c r="AO7" s="18" t="str">
        <f t="shared" si="4"/>
        <v>06</v>
      </c>
      <c r="AP7" s="18" t="str">
        <f>IF(LEN(WEEKNUM(AP$5))=1,0&amp;WEEKNUM(AP$5),WEEKNUM(AP$5,1))</f>
        <v>07</v>
      </c>
      <c r="AQ7" s="18" t="str">
        <f t="shared" ref="AQ7:BM7" si="5">IF(LEN(WEEKNUM(AQ$5))=1,0&amp;WEEKNUM(AQ$5),WEEKNUM(AQ$5,1))</f>
        <v>08</v>
      </c>
      <c r="AR7" s="18" t="str">
        <f t="shared" si="5"/>
        <v>09</v>
      </c>
      <c r="AS7" s="18">
        <f t="shared" si="5"/>
        <v>10</v>
      </c>
      <c r="AT7" s="18">
        <f t="shared" si="5"/>
        <v>11</v>
      </c>
      <c r="AU7" s="18">
        <f t="shared" si="5"/>
        <v>12</v>
      </c>
      <c r="AV7" s="18">
        <f t="shared" si="5"/>
        <v>13</v>
      </c>
      <c r="AW7" s="18">
        <f t="shared" si="5"/>
        <v>14</v>
      </c>
      <c r="AX7" s="18">
        <f t="shared" si="5"/>
        <v>15</v>
      </c>
      <c r="AY7" s="18">
        <f t="shared" si="5"/>
        <v>16</v>
      </c>
      <c r="AZ7" s="18">
        <f t="shared" si="5"/>
        <v>17</v>
      </c>
      <c r="BA7" s="18">
        <f t="shared" si="5"/>
        <v>18</v>
      </c>
      <c r="BB7" s="18">
        <f t="shared" si="5"/>
        <v>19</v>
      </c>
      <c r="BC7" s="18">
        <f t="shared" si="5"/>
        <v>20</v>
      </c>
      <c r="BD7" s="18">
        <f t="shared" si="5"/>
        <v>21</v>
      </c>
      <c r="BE7" s="18">
        <f t="shared" si="5"/>
        <v>22</v>
      </c>
      <c r="BF7" s="18">
        <f t="shared" si="5"/>
        <v>23</v>
      </c>
      <c r="BG7" s="18">
        <f t="shared" si="5"/>
        <v>24</v>
      </c>
      <c r="BH7" s="18">
        <f t="shared" si="5"/>
        <v>25</v>
      </c>
      <c r="BI7" s="18">
        <f t="shared" si="5"/>
        <v>26</v>
      </c>
      <c r="BJ7" s="18">
        <f t="shared" si="5"/>
        <v>27</v>
      </c>
      <c r="BK7" s="18">
        <f t="shared" si="5"/>
        <v>28</v>
      </c>
      <c r="BL7" s="18">
        <f t="shared" si="5"/>
        <v>29</v>
      </c>
      <c r="BM7" s="18">
        <f t="shared" si="5"/>
        <v>30</v>
      </c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</row>
    <row r="8" spans="1:158" ht="51" customHeight="1" x14ac:dyDescent="0.25">
      <c r="A8" s="1"/>
      <c r="B8" s="8" t="s">
        <v>78</v>
      </c>
      <c r="C8" s="9" t="s">
        <v>79</v>
      </c>
      <c r="D8" s="9" t="s">
        <v>80</v>
      </c>
      <c r="E8" s="10" t="s">
        <v>81</v>
      </c>
      <c r="F8" s="10" t="s">
        <v>82</v>
      </c>
      <c r="G8" s="9" t="s">
        <v>83</v>
      </c>
      <c r="H8" s="10" t="s">
        <v>84</v>
      </c>
      <c r="I8" s="10" t="s">
        <v>85</v>
      </c>
      <c r="J8" s="10" t="s">
        <v>86</v>
      </c>
      <c r="K8" s="9" t="s">
        <v>87</v>
      </c>
      <c r="L8" s="10" t="s">
        <v>88</v>
      </c>
      <c r="M8" s="10" t="s">
        <v>89</v>
      </c>
      <c r="N8" s="19" t="s">
        <v>90</v>
      </c>
      <c r="O8" s="19" t="s">
        <v>91</v>
      </c>
      <c r="P8" s="19" t="s">
        <v>92</v>
      </c>
      <c r="Q8" s="19" t="s">
        <v>93</v>
      </c>
      <c r="R8" s="19" t="s">
        <v>94</v>
      </c>
      <c r="S8" s="19" t="s">
        <v>95</v>
      </c>
      <c r="T8" s="19" t="s">
        <v>96</v>
      </c>
      <c r="U8" s="19" t="s">
        <v>97</v>
      </c>
      <c r="V8" s="19" t="s">
        <v>98</v>
      </c>
      <c r="W8" s="19" t="s">
        <v>99</v>
      </c>
      <c r="X8" s="19" t="s">
        <v>100</v>
      </c>
      <c r="Y8" s="19" t="s">
        <v>101</v>
      </c>
      <c r="Z8" s="19" t="s">
        <v>102</v>
      </c>
      <c r="AA8" s="19" t="s">
        <v>103</v>
      </c>
      <c r="AB8" s="19" t="s">
        <v>104</v>
      </c>
      <c r="AC8" s="19" t="s">
        <v>105</v>
      </c>
      <c r="AD8" s="19" t="s">
        <v>106</v>
      </c>
      <c r="AE8" s="19" t="s">
        <v>107</v>
      </c>
      <c r="AF8" s="19" t="s">
        <v>108</v>
      </c>
      <c r="AG8" s="19" t="s">
        <v>109</v>
      </c>
      <c r="AH8" s="20" t="s">
        <v>110</v>
      </c>
      <c r="AI8" s="19" t="s">
        <v>111</v>
      </c>
      <c r="AJ8" s="19" t="s">
        <v>112</v>
      </c>
      <c r="AK8" s="19" t="s">
        <v>113</v>
      </c>
      <c r="AL8" s="19" t="s">
        <v>114</v>
      </c>
      <c r="AM8" s="19" t="s">
        <v>115</v>
      </c>
      <c r="AN8" s="19" t="s">
        <v>116</v>
      </c>
      <c r="AO8" s="19" t="s">
        <v>117</v>
      </c>
      <c r="AP8" s="19" t="s">
        <v>118</v>
      </c>
      <c r="AQ8" s="19" t="s">
        <v>119</v>
      </c>
      <c r="AR8" s="19" t="s">
        <v>120</v>
      </c>
      <c r="AS8" s="19" t="s">
        <v>121</v>
      </c>
      <c r="AT8" s="19" t="s">
        <v>122</v>
      </c>
      <c r="AU8" s="19" t="s">
        <v>123</v>
      </c>
      <c r="AV8" s="19" t="s">
        <v>124</v>
      </c>
      <c r="AW8" s="19" t="s">
        <v>125</v>
      </c>
      <c r="AX8" s="19" t="s">
        <v>126</v>
      </c>
      <c r="AY8" s="19" t="s">
        <v>127</v>
      </c>
      <c r="AZ8" s="19" t="s">
        <v>128</v>
      </c>
      <c r="BA8" s="19" t="s">
        <v>129</v>
      </c>
      <c r="BB8" s="19" t="s">
        <v>130</v>
      </c>
      <c r="BC8" s="19" t="s">
        <v>131</v>
      </c>
      <c r="BD8" s="19" t="s">
        <v>132</v>
      </c>
      <c r="BE8" s="19" t="s">
        <v>133</v>
      </c>
      <c r="BF8" s="19" t="s">
        <v>134</v>
      </c>
      <c r="BG8" s="19" t="s">
        <v>135</v>
      </c>
      <c r="BH8" s="19" t="s">
        <v>136</v>
      </c>
      <c r="BI8" s="19" t="s">
        <v>137</v>
      </c>
      <c r="BJ8" s="19" t="s">
        <v>138</v>
      </c>
      <c r="BK8" s="19" t="s">
        <v>139</v>
      </c>
      <c r="BL8" s="19" t="s">
        <v>140</v>
      </c>
      <c r="BM8" s="19" t="s">
        <v>141</v>
      </c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</row>
    <row r="9" spans="1:158" x14ac:dyDescent="0.25"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3" t="str">
        <f t="shared" ref="N9:AV11" si="6">IF(AND((IF(LEN(WEEKNUM($L9))=1,YEAR($L9)&amp;0&amp;WEEKNUM($L9),YEAR($L9)&amp;WEEKNUM($L9)))&lt;(IF(LEN(WEEKNUM(N$5))=1,YEAR(N$5)&amp;0&amp;WEEKNUM(N$5),YEAR(N$5)&amp;WEEKNUM(N$5))),(IF(LEN(WEEKNUM($M9))=1,YEAR($M9)&amp;0&amp;WEEKNUM($M9),YEAR($M9)&amp;WEEKNUM($M9)))&lt;(IF(LEN(WEEKNUM(N$5))=1,YEAR(N$5)&amp;0&amp;WEEKNUM(N$5),YEAR(N$5)&amp;WEEKNUM(N$5)))),"",
IF(AND(OR((IF(LEN(WEEKNUM($L9))=1,YEAR($L9)&amp;0&amp;WEEKNUM($L9),YEAR($L9)&amp;WEEKNUM($L9)))&lt;(IF(LEN(WEEKNUM(N$5))=1,YEAR(N$5)&amp;0&amp;WEEKNUM(N$5),YEAR(N$5)&amp;WEEKNUM(N$5))),(IF(LEN(WEEKNUM($L9))=1,YEAR($L9)&amp;0&amp;WEEKNUM($L9),YEAR($L9)&amp;WEEKNUM($L9)))=(IF(LEN(WEEKNUM(N$5))=1,YEAR(N$5)&amp;0&amp;WEEKNUM(N$5),YEAR(N$5)&amp;WEEKNUM(N$5)))),OR((IF(LEN(WEEKNUM($M9))=1,YEAR($M9)&amp;0&amp;WEEKNUM($M9),YEAR($M9)&amp;WEEKNUM($M9)))&gt;(IF(LEN(WEEKNUM(N$5))=1,YEAR(N$5)&amp;0&amp;WEEKNUM(N$5),YEAR(N$5)&amp;WEEKNUM(N$5))),(IF(LEN(WEEKNUM($M9))=1,YEAR($M9)&amp;0&amp;WEEKNUM($M9),YEAR($M9)&amp;WEEKNUM($M9)))=(IF(LEN(WEEKNUM(N$5))=1,YEAR(N$5)&amp;0&amp;WEEKNUM(N$5),YEAR(N$5)&amp;WEEKNUM(N$5))))),"Inserir %",
IF(AND((IF(LEN(WEEKNUM($L9))=1,YEAR($L9)&amp;0&amp;WEEKNUM($L9),YEAR($L9)&amp;WEEKNUM($L9)))&gt;(IF(LEN(WEEKNUM(N$5))=1,YEAR(N$5)&amp;0&amp;WEEKNUM(N$5),YEAR(N$5)&amp;WEEKNUM(N$5))),(IF(LEN(WEEKNUM($M9))=1,YEAR($M9)&amp;0&amp;WEEKNUM($M9),YEAR($M9)&amp;WEEKNUM($M9)))&gt;(IF(LEN(WEEKNUM(N$5))=1,YEAR(N$5)&amp;0&amp;WEEKNUM(N$5),YEAR(N$5)&amp;WEEKNUM(N$5)))),"","Verificar")))</f>
        <v/>
      </c>
      <c r="O9" s="23" t="str">
        <f t="shared" si="6"/>
        <v/>
      </c>
      <c r="P9" s="23" t="str">
        <f t="shared" si="6"/>
        <v/>
      </c>
      <c r="Q9" s="23" t="str">
        <f t="shared" si="6"/>
        <v/>
      </c>
      <c r="R9" s="23" t="str">
        <f t="shared" si="6"/>
        <v/>
      </c>
      <c r="S9" s="23" t="str">
        <f t="shared" si="6"/>
        <v/>
      </c>
      <c r="T9" s="23" t="str">
        <f t="shared" si="6"/>
        <v/>
      </c>
      <c r="U9" s="23" t="str">
        <f t="shared" si="6"/>
        <v/>
      </c>
      <c r="V9" s="23" t="str">
        <f t="shared" si="6"/>
        <v/>
      </c>
      <c r="W9" s="23" t="str">
        <f t="shared" si="6"/>
        <v/>
      </c>
      <c r="X9" s="23" t="str">
        <f t="shared" si="6"/>
        <v/>
      </c>
      <c r="Y9" s="23" t="str">
        <f t="shared" si="6"/>
        <v/>
      </c>
      <c r="Z9" s="23" t="str">
        <f t="shared" si="6"/>
        <v/>
      </c>
      <c r="AA9" s="23" t="str">
        <f t="shared" si="6"/>
        <v/>
      </c>
      <c r="AB9" s="23" t="str">
        <f t="shared" si="6"/>
        <v/>
      </c>
      <c r="AC9" s="23" t="str">
        <f t="shared" si="6"/>
        <v/>
      </c>
      <c r="AD9" s="23" t="str">
        <f t="shared" si="6"/>
        <v/>
      </c>
      <c r="AE9" s="23" t="str">
        <f t="shared" si="6"/>
        <v/>
      </c>
      <c r="AF9" s="23" t="str">
        <f t="shared" si="6"/>
        <v/>
      </c>
      <c r="AG9" s="23" t="str">
        <f t="shared" si="6"/>
        <v/>
      </c>
      <c r="AH9" s="23" t="str">
        <f t="shared" si="6"/>
        <v/>
      </c>
      <c r="AI9" s="23" t="str">
        <f t="shared" si="6"/>
        <v/>
      </c>
      <c r="AJ9" s="23" t="str">
        <f t="shared" si="6"/>
        <v/>
      </c>
      <c r="AK9" s="23" t="str">
        <f t="shared" si="6"/>
        <v/>
      </c>
      <c r="AL9" s="23" t="str">
        <f t="shared" si="6"/>
        <v/>
      </c>
      <c r="AM9" s="23" t="str">
        <f t="shared" si="6"/>
        <v/>
      </c>
      <c r="AN9" s="23" t="str">
        <f t="shared" si="6"/>
        <v/>
      </c>
      <c r="AO9" s="23" t="str">
        <f t="shared" si="6"/>
        <v/>
      </c>
      <c r="AP9" s="23" t="str">
        <f t="shared" si="6"/>
        <v/>
      </c>
      <c r="AQ9" s="23" t="str">
        <f t="shared" si="6"/>
        <v/>
      </c>
      <c r="AR9" s="23" t="str">
        <f t="shared" si="6"/>
        <v/>
      </c>
      <c r="AS9" s="23" t="str">
        <f t="shared" si="6"/>
        <v/>
      </c>
      <c r="AT9" s="23" t="str">
        <f t="shared" si="6"/>
        <v/>
      </c>
      <c r="AU9" s="23" t="str">
        <f t="shared" si="6"/>
        <v/>
      </c>
      <c r="AV9" s="23" t="str">
        <f t="shared" si="6"/>
        <v/>
      </c>
      <c r="AW9" s="23" t="str">
        <f t="shared" ref="AW9:BM11" si="7">IF(AND((IF(LEN(WEEKNUM($L9))=1,YEAR($L9)&amp;0&amp;WEEKNUM($L9),YEAR($L9)&amp;WEEKNUM($L9)))&lt;(IF(LEN(WEEKNUM(AW$5))=1,YEAR(AW$5)&amp;0&amp;WEEKNUM(AW$5),YEAR(AW$5)&amp;WEEKNUM(AW$5))),(IF(LEN(WEEKNUM($M9))=1,YEAR($M9)&amp;0&amp;WEEKNUM($M9),YEAR($M9)&amp;WEEKNUM($M9)))&lt;(IF(LEN(WEEKNUM(AW$5))=1,YEAR(AW$5)&amp;0&amp;WEEKNUM(AW$5),YEAR(AW$5)&amp;WEEKNUM(AW$5)))),"",
IF(AND(OR((IF(LEN(WEEKNUM($L9))=1,YEAR($L9)&amp;0&amp;WEEKNUM($L9),YEAR($L9)&amp;WEEKNUM($L9)))&lt;(IF(LEN(WEEKNUM(AW$5))=1,YEAR(AW$5)&amp;0&amp;WEEKNUM(AW$5),YEAR(AW$5)&amp;WEEKNUM(AW$5))),(IF(LEN(WEEKNUM($L9))=1,YEAR($L9)&amp;0&amp;WEEKNUM($L9),YEAR($L9)&amp;WEEKNUM($L9)))=(IF(LEN(WEEKNUM(AW$5))=1,YEAR(AW$5)&amp;0&amp;WEEKNUM(AW$5),YEAR(AW$5)&amp;WEEKNUM(AW$5)))),OR((IF(LEN(WEEKNUM($M9))=1,YEAR($M9)&amp;0&amp;WEEKNUM($M9),YEAR($M9)&amp;WEEKNUM($M9)))&gt;(IF(LEN(WEEKNUM(AW$5))=1,YEAR(AW$5)&amp;0&amp;WEEKNUM(AW$5),YEAR(AW$5)&amp;WEEKNUM(AW$5))),(IF(LEN(WEEKNUM($M9))=1,YEAR($M9)&amp;0&amp;WEEKNUM($M9),YEAR($M9)&amp;WEEKNUM($M9)))=(IF(LEN(WEEKNUM(AW$5))=1,YEAR(AW$5)&amp;0&amp;WEEKNUM(AW$5),YEAR(AW$5)&amp;WEEKNUM(AW$5))))),"Inserir %",
IF(AND((IF(LEN(WEEKNUM($L9))=1,YEAR($L9)&amp;0&amp;WEEKNUM($L9),YEAR($L9)&amp;WEEKNUM($L9)))&gt;(IF(LEN(WEEKNUM(AW$5))=1,YEAR(AW$5)&amp;0&amp;WEEKNUM(AW$5),YEAR(AW$5)&amp;WEEKNUM(AW$5))),(IF(LEN(WEEKNUM($M9))=1,YEAR($M9)&amp;0&amp;WEEKNUM($M9),YEAR($M9)&amp;WEEKNUM($M9)))&gt;(IF(LEN(WEEKNUM(AW$5))=1,YEAR(AW$5)&amp;0&amp;WEEKNUM(AW$5),YEAR(AW$5)&amp;WEEKNUM(AW$5)))),"","Verificar")))</f>
        <v/>
      </c>
      <c r="AX9" s="23" t="str">
        <f t="shared" si="7"/>
        <v/>
      </c>
      <c r="AY9" s="23" t="str">
        <f t="shared" si="7"/>
        <v/>
      </c>
      <c r="AZ9" s="23" t="str">
        <f t="shared" si="7"/>
        <v/>
      </c>
      <c r="BA9" s="23" t="str">
        <f t="shared" si="7"/>
        <v/>
      </c>
      <c r="BB9" s="23" t="str">
        <f t="shared" si="7"/>
        <v/>
      </c>
      <c r="BC9" s="23" t="str">
        <f t="shared" si="7"/>
        <v/>
      </c>
      <c r="BD9" s="23" t="str">
        <f t="shared" si="7"/>
        <v/>
      </c>
      <c r="BE9" s="23" t="str">
        <f t="shared" si="7"/>
        <v/>
      </c>
      <c r="BF9" s="23" t="str">
        <f t="shared" si="7"/>
        <v/>
      </c>
      <c r="BG9" s="23" t="str">
        <f t="shared" si="7"/>
        <v/>
      </c>
      <c r="BH9" s="23" t="str">
        <f t="shared" si="7"/>
        <v/>
      </c>
      <c r="BI9" s="23" t="str">
        <f t="shared" si="7"/>
        <v/>
      </c>
      <c r="BJ9" s="23" t="str">
        <f t="shared" si="7"/>
        <v/>
      </c>
      <c r="BK9" s="23" t="str">
        <f t="shared" si="7"/>
        <v/>
      </c>
      <c r="BL9" s="23" t="str">
        <f t="shared" si="7"/>
        <v/>
      </c>
      <c r="BM9" s="23" t="str">
        <f t="shared" si="7"/>
        <v/>
      </c>
    </row>
    <row r="10" spans="1:158" x14ac:dyDescent="0.25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21" t="str">
        <f t="shared" si="6"/>
        <v/>
      </c>
      <c r="O10" s="21" t="str">
        <f t="shared" si="6"/>
        <v/>
      </c>
      <c r="P10" s="21" t="str">
        <f t="shared" si="6"/>
        <v/>
      </c>
      <c r="Q10" s="21" t="str">
        <f t="shared" si="6"/>
        <v/>
      </c>
      <c r="R10" s="21" t="str">
        <f t="shared" si="6"/>
        <v/>
      </c>
      <c r="S10" s="21" t="str">
        <f t="shared" si="6"/>
        <v/>
      </c>
      <c r="T10" s="21" t="str">
        <f t="shared" si="6"/>
        <v/>
      </c>
      <c r="U10" s="21" t="str">
        <f t="shared" si="6"/>
        <v/>
      </c>
      <c r="V10" s="21" t="str">
        <f t="shared" si="6"/>
        <v/>
      </c>
      <c r="W10" s="21" t="str">
        <f t="shared" si="6"/>
        <v/>
      </c>
      <c r="X10" s="21" t="str">
        <f t="shared" si="6"/>
        <v/>
      </c>
      <c r="Y10" s="21" t="str">
        <f t="shared" si="6"/>
        <v/>
      </c>
      <c r="Z10" s="21" t="str">
        <f t="shared" si="6"/>
        <v/>
      </c>
      <c r="AA10" s="21" t="str">
        <f t="shared" si="6"/>
        <v/>
      </c>
      <c r="AB10" s="21" t="str">
        <f t="shared" si="6"/>
        <v/>
      </c>
      <c r="AC10" s="21" t="str">
        <f t="shared" si="6"/>
        <v/>
      </c>
      <c r="AD10" s="21" t="str">
        <f t="shared" si="6"/>
        <v/>
      </c>
      <c r="AE10" s="21" t="str">
        <f t="shared" si="6"/>
        <v/>
      </c>
      <c r="AF10" s="21" t="str">
        <f t="shared" si="6"/>
        <v/>
      </c>
      <c r="AG10" s="21" t="str">
        <f t="shared" si="6"/>
        <v/>
      </c>
      <c r="AH10" s="21" t="str">
        <f t="shared" si="6"/>
        <v/>
      </c>
      <c r="AI10" s="21" t="str">
        <f t="shared" si="6"/>
        <v/>
      </c>
      <c r="AJ10" s="21" t="str">
        <f t="shared" si="6"/>
        <v/>
      </c>
      <c r="AK10" s="21" t="str">
        <f t="shared" si="6"/>
        <v/>
      </c>
      <c r="AL10" s="21" t="str">
        <f t="shared" si="6"/>
        <v/>
      </c>
      <c r="AM10" s="21" t="str">
        <f t="shared" si="6"/>
        <v/>
      </c>
      <c r="AN10" s="21" t="str">
        <f t="shared" si="6"/>
        <v/>
      </c>
      <c r="AO10" s="21" t="str">
        <f t="shared" si="6"/>
        <v/>
      </c>
      <c r="AP10" s="21" t="str">
        <f t="shared" si="6"/>
        <v/>
      </c>
      <c r="AQ10" s="21" t="str">
        <f t="shared" si="6"/>
        <v/>
      </c>
      <c r="AR10" s="21" t="str">
        <f t="shared" si="6"/>
        <v/>
      </c>
      <c r="AS10" s="21" t="str">
        <f t="shared" si="6"/>
        <v/>
      </c>
      <c r="AT10" s="21" t="str">
        <f t="shared" si="6"/>
        <v/>
      </c>
      <c r="AU10" s="21" t="str">
        <f t="shared" si="6"/>
        <v/>
      </c>
      <c r="AV10" s="21" t="str">
        <f t="shared" si="6"/>
        <v/>
      </c>
      <c r="AW10" s="21" t="str">
        <f t="shared" si="7"/>
        <v/>
      </c>
      <c r="AX10" s="21" t="str">
        <f t="shared" si="7"/>
        <v/>
      </c>
      <c r="AY10" s="21" t="str">
        <f t="shared" si="7"/>
        <v/>
      </c>
      <c r="AZ10" s="21" t="str">
        <f t="shared" si="7"/>
        <v/>
      </c>
      <c r="BA10" s="21" t="str">
        <f t="shared" si="7"/>
        <v/>
      </c>
      <c r="BB10" s="21" t="str">
        <f t="shared" si="7"/>
        <v/>
      </c>
      <c r="BC10" s="21" t="str">
        <f t="shared" si="7"/>
        <v/>
      </c>
      <c r="BD10" s="21" t="str">
        <f t="shared" si="7"/>
        <v/>
      </c>
      <c r="BE10" s="21" t="str">
        <f t="shared" si="7"/>
        <v/>
      </c>
      <c r="BF10" s="21" t="str">
        <f t="shared" si="7"/>
        <v/>
      </c>
      <c r="BG10" s="21" t="str">
        <f t="shared" si="7"/>
        <v/>
      </c>
      <c r="BH10" s="21" t="str">
        <f t="shared" si="7"/>
        <v/>
      </c>
      <c r="BI10" s="21" t="str">
        <f t="shared" si="7"/>
        <v/>
      </c>
      <c r="BJ10" s="21" t="str">
        <f t="shared" si="7"/>
        <v/>
      </c>
      <c r="BK10" s="21" t="str">
        <f t="shared" si="7"/>
        <v/>
      </c>
      <c r="BL10" s="21" t="str">
        <f t="shared" si="7"/>
        <v/>
      </c>
      <c r="BM10" s="21" t="str">
        <f t="shared" si="7"/>
        <v/>
      </c>
    </row>
    <row r="11" spans="1:158" x14ac:dyDescent="0.25"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3" t="str">
        <f t="shared" si="6"/>
        <v/>
      </c>
      <c r="O11" s="23" t="str">
        <f t="shared" si="6"/>
        <v/>
      </c>
      <c r="P11" s="23" t="str">
        <f t="shared" si="6"/>
        <v/>
      </c>
      <c r="Q11" s="23" t="str">
        <f t="shared" si="6"/>
        <v/>
      </c>
      <c r="R11" s="23" t="str">
        <f t="shared" si="6"/>
        <v/>
      </c>
      <c r="S11" s="23" t="str">
        <f t="shared" si="6"/>
        <v/>
      </c>
      <c r="T11" s="23" t="str">
        <f t="shared" si="6"/>
        <v/>
      </c>
      <c r="U11" s="23" t="str">
        <f t="shared" si="6"/>
        <v/>
      </c>
      <c r="V11" s="23" t="str">
        <f t="shared" si="6"/>
        <v/>
      </c>
      <c r="W11" s="23" t="str">
        <f t="shared" si="6"/>
        <v/>
      </c>
      <c r="X11" s="23" t="str">
        <f t="shared" si="6"/>
        <v/>
      </c>
      <c r="Y11" s="23" t="str">
        <f t="shared" si="6"/>
        <v/>
      </c>
      <c r="Z11" s="23" t="str">
        <f t="shared" si="6"/>
        <v/>
      </c>
      <c r="AA11" s="23" t="str">
        <f t="shared" si="6"/>
        <v/>
      </c>
      <c r="AB11" s="23" t="str">
        <f t="shared" si="6"/>
        <v/>
      </c>
      <c r="AC11" s="23" t="str">
        <f t="shared" si="6"/>
        <v/>
      </c>
      <c r="AD11" s="23" t="str">
        <f t="shared" si="6"/>
        <v/>
      </c>
      <c r="AE11" s="23" t="str">
        <f t="shared" si="6"/>
        <v/>
      </c>
      <c r="AF11" s="23" t="str">
        <f t="shared" si="6"/>
        <v/>
      </c>
      <c r="AG11" s="23" t="str">
        <f t="shared" si="6"/>
        <v/>
      </c>
      <c r="AH11" s="23" t="str">
        <f t="shared" si="6"/>
        <v/>
      </c>
      <c r="AI11" s="23" t="str">
        <f t="shared" si="6"/>
        <v/>
      </c>
      <c r="AJ11" s="23" t="str">
        <f t="shared" si="6"/>
        <v/>
      </c>
      <c r="AK11" s="23" t="str">
        <f t="shared" si="6"/>
        <v/>
      </c>
      <c r="AL11" s="23" t="str">
        <f t="shared" si="6"/>
        <v/>
      </c>
      <c r="AM11" s="23" t="str">
        <f t="shared" si="6"/>
        <v/>
      </c>
      <c r="AN11" s="23" t="str">
        <f t="shared" si="6"/>
        <v/>
      </c>
      <c r="AO11" s="23" t="str">
        <f t="shared" si="6"/>
        <v/>
      </c>
      <c r="AP11" s="23" t="str">
        <f t="shared" si="6"/>
        <v/>
      </c>
      <c r="AQ11" s="23" t="str">
        <f t="shared" si="6"/>
        <v/>
      </c>
      <c r="AR11" s="23" t="str">
        <f t="shared" si="6"/>
        <v/>
      </c>
      <c r="AS11" s="23" t="str">
        <f t="shared" si="6"/>
        <v/>
      </c>
      <c r="AT11" s="23" t="str">
        <f t="shared" si="6"/>
        <v/>
      </c>
      <c r="AU11" s="23" t="str">
        <f t="shared" si="6"/>
        <v/>
      </c>
      <c r="AV11" s="23" t="str">
        <f t="shared" si="6"/>
        <v/>
      </c>
      <c r="AW11" s="23" t="str">
        <f t="shared" si="7"/>
        <v/>
      </c>
      <c r="AX11" s="23" t="str">
        <f t="shared" si="7"/>
        <v/>
      </c>
      <c r="AY11" s="23" t="str">
        <f t="shared" si="7"/>
        <v/>
      </c>
      <c r="AZ11" s="23" t="str">
        <f t="shared" si="7"/>
        <v/>
      </c>
      <c r="BA11" s="23" t="str">
        <f t="shared" si="7"/>
        <v/>
      </c>
      <c r="BB11" s="23" t="str">
        <f t="shared" si="7"/>
        <v/>
      </c>
      <c r="BC11" s="23" t="str">
        <f t="shared" si="7"/>
        <v/>
      </c>
      <c r="BD11" s="23" t="str">
        <f t="shared" si="7"/>
        <v/>
      </c>
      <c r="BE11" s="23" t="str">
        <f t="shared" si="7"/>
        <v/>
      </c>
      <c r="BF11" s="23" t="str">
        <f t="shared" si="7"/>
        <v/>
      </c>
      <c r="BG11" s="23" t="str">
        <f t="shared" si="7"/>
        <v/>
      </c>
      <c r="BH11" s="23" t="str">
        <f t="shared" si="7"/>
        <v/>
      </c>
      <c r="BI11" s="23" t="str">
        <f t="shared" si="7"/>
        <v/>
      </c>
      <c r="BJ11" s="23" t="str">
        <f t="shared" si="7"/>
        <v/>
      </c>
      <c r="BK11" s="23" t="str">
        <f t="shared" si="7"/>
        <v/>
      </c>
      <c r="BL11" s="23" t="str">
        <f t="shared" si="7"/>
        <v/>
      </c>
      <c r="BM11" s="23" t="str">
        <f t="shared" si="7"/>
        <v/>
      </c>
    </row>
  </sheetData>
  <conditionalFormatting sqref="N9:BM11">
    <cfRule type="colorScale" priority="3">
      <colorScale>
        <cfvo type="min"/>
        <cfvo type="max"/>
        <color theme="8" tint="0.59999389629810485"/>
        <color theme="8" tint="-0.249977111117893"/>
      </colorScale>
    </cfRule>
    <cfRule type="expression" dxfId="0" priority="4">
      <formula>OR(N9="Inserir %",ISNUMBER(N9))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Histograma %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Soares Peretti</dc:creator>
  <cp:lastModifiedBy>Vinicius Vaz dos Santos</cp:lastModifiedBy>
  <dcterms:created xsi:type="dcterms:W3CDTF">2015-06-05T18:19:34Z</dcterms:created>
  <dcterms:modified xsi:type="dcterms:W3CDTF">2022-08-19T17:15:20Z</dcterms:modified>
</cp:coreProperties>
</file>