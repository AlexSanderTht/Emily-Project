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AA4C1FCA-CEA5-4A5A-8B8A-F3E0C3972191}" xr6:coauthVersionLast="47" xr6:coauthVersionMax="47" xr10:uidLastSave="{00000000-0000-0000-0000-000000000000}"/>
  <workbookProtection workbookAlgorithmName="SHA-512" workbookHashValue="/uMexsKUngNkCZ7gDQ7XqT/o/Zs5HwnHMP5bFMbvIu8u0ZmL/Q1X8JIJ1p1bGf7/B0mRxLLTjmnjRxASQj8qYA==" workbookSaltValue="v+wFeNSnJ8rYWW/8qbWO+w==" workbookSpinCount="100000" lockStructure="1"/>
  <bookViews>
    <workbookView xWindow="825" yWindow="-120" windowWidth="37695" windowHeight="16440" xr2:uid="{BAF9015A-F3FB-4183-8CF0-3B7EE6766747}"/>
  </bookViews>
  <sheets>
    <sheet name="Import" sheetId="1" r:id="rId1"/>
    <sheet name="Lista 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<sst xmlns="http://schemas.openxmlformats.org/spreadsheetml/2006/main" count="94" uniqueCount="88">
  <si>
    <t>OS</t>
  </si>
  <si>
    <t>AREA</t>
  </si>
  <si>
    <t>CIRCUITO</t>
  </si>
  <si>
    <t>TIPO DA CARGA</t>
  </si>
  <si>
    <t>MANEIRA DE INSTALAR</t>
  </si>
  <si>
    <t>SISTEMA</t>
  </si>
  <si>
    <t>CABO</t>
  </si>
  <si>
    <t>TIPO CABO</t>
  </si>
  <si>
    <t>TIPO DE PARTIDA</t>
  </si>
  <si>
    <t>MATERIAL CONDUTOR</t>
  </si>
  <si>
    <t>FATOR POTENCIA NOMINAL</t>
  </si>
  <si>
    <t>FATOR POTENCIA PARTIDA</t>
  </si>
  <si>
    <t>FATOR DE AGRUPAMENTO</t>
  </si>
  <si>
    <t>N° CONDUTORES POR FASE</t>
  </si>
  <si>
    <t>DISPOSITIVO DE PROTEÇÃO</t>
  </si>
  <si>
    <t>TIPO CARGA</t>
  </si>
  <si>
    <t>ALIMENTADOR</t>
  </si>
  <si>
    <t>MOTOR</t>
  </si>
  <si>
    <t>Eletroduto circular embutido em alvenaria</t>
  </si>
  <si>
    <t>Bandeja não perfurada</t>
  </si>
  <si>
    <t>Bandeja perfurada</t>
  </si>
  <si>
    <t>Canaleta embutida no piso</t>
  </si>
  <si>
    <t>Canaleta ventilada embutida no piso</t>
  </si>
  <si>
    <t>Leito</t>
  </si>
  <si>
    <t>F + N</t>
  </si>
  <si>
    <t>F + N + T</t>
  </si>
  <si>
    <t>2F</t>
  </si>
  <si>
    <t>2F + T</t>
  </si>
  <si>
    <t>2F + N</t>
  </si>
  <si>
    <t>2F + N + T</t>
  </si>
  <si>
    <t>3F</t>
  </si>
  <si>
    <t>3F + T</t>
  </si>
  <si>
    <t>3F + N</t>
  </si>
  <si>
    <t>3F + N + T</t>
  </si>
  <si>
    <t>PVC / 70°</t>
  </si>
  <si>
    <t>EPR / 90°</t>
  </si>
  <si>
    <t>UNIPOLAR</t>
  </si>
  <si>
    <t>BIPOLAR</t>
  </si>
  <si>
    <t>TRIPOLAR</t>
  </si>
  <si>
    <t>TETRAPOLAR</t>
  </si>
  <si>
    <t>TEMPERATURAS</t>
  </si>
  <si>
    <t>TIPO PARTIDA</t>
  </si>
  <si>
    <t>DIRETA</t>
  </si>
  <si>
    <t>INVERSOR</t>
  </si>
  <si>
    <t>SOFTSTARTER</t>
  </si>
  <si>
    <t>COBRE</t>
  </si>
  <si>
    <t>ALUMINIO</t>
  </si>
  <si>
    <t>SEÇÕES</t>
  </si>
  <si>
    <t>DISP PROT</t>
  </si>
  <si>
    <t>Caixa Aberta</t>
  </si>
  <si>
    <t>Caixa Moldada</t>
  </si>
  <si>
    <t>Limitador</t>
  </si>
  <si>
    <t>Outro</t>
  </si>
  <si>
    <t>CONFORMAÇÃO CABOS</t>
  </si>
  <si>
    <t>DISTANCIA UNIPOLAR</t>
  </si>
  <si>
    <t>CONFORMAÇÃO</t>
  </si>
  <si>
    <t>Trifólio</t>
  </si>
  <si>
    <t>Justaposto (Sem espaçamento)</t>
  </si>
  <si>
    <t>Justaposto espaçado Horizontal</t>
  </si>
  <si>
    <t>Justaposto espaçado Vertical</t>
  </si>
  <si>
    <t>13cm</t>
  </si>
  <si>
    <t>20cm</t>
  </si>
  <si>
    <t>2D</t>
  </si>
  <si>
    <t>DESCONSIDERAR CURTO-CIRCUITO</t>
  </si>
  <si>
    <t>DESCONSIDERAR SOBRE-CARGA</t>
  </si>
  <si>
    <t>BINARIOS</t>
  </si>
  <si>
    <t>SIM</t>
  </si>
  <si>
    <t>NÃO</t>
  </si>
  <si>
    <t>CIRCUITO DESEQUILIBRADO</t>
  </si>
  <si>
    <t>Eletroduto enterrado</t>
  </si>
  <si>
    <t>PENTAPOLAR</t>
  </si>
  <si>
    <t>3F + SH</t>
  </si>
  <si>
    <t>TRIPOLAR+BL</t>
  </si>
  <si>
    <t>COMPRIMENTO (m)</t>
  </si>
  <si>
    <t>TEMPERATURA (°C)</t>
  </si>
  <si>
    <t>TENSÃO FASE-FASE (V)</t>
  </si>
  <si>
    <t>CORRENTE NOMINAL (A)</t>
  </si>
  <si>
    <t>CORRENTE DE PARTIDA (A)</t>
  </si>
  <si>
    <t>CURTO-CIRCUITO (kA)</t>
  </si>
  <si>
    <t>HARMÔNICOS (%)</t>
  </si>
  <si>
    <t>SEÇÃO MINIMA (mm²)</t>
  </si>
  <si>
    <t>SEÇÃO MÁXIMA (mm²)</t>
  </si>
  <si>
    <t>CORRENTE NOMINAL DISP. PROT (A)</t>
  </si>
  <si>
    <t>TEMPO ATUAÇÃO DISP. PROT (s)</t>
  </si>
  <si>
    <t>CORRENTE DE CURTO LIMITADA (kA)</t>
  </si>
  <si>
    <t>CORRENTE REGULADA DISP. PROT (A)</t>
  </si>
  <si>
    <t>QUEDA TENSÃO REGIME (%)</t>
  </si>
  <si>
    <t>QUEDA TENSÃO PARTIDA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</si>
</sst>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Protection="1"/>
    <xf numFmtId="0" fontId="0" fillId="2" borderId="0" xfId="0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513432</xdr:colOff>
      <xdr:row>3</xdr:row>
      <xdr:rowOff>124714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130CE9-5ABF-47E9-9799-D1C26B41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0"/>
          <a:ext cx="1008732" cy="639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8F5F-09D5-48C5-9195-E004617CFF58}">
  <dimension ref="A1:AI5"/>
  <sheetViews>
    <sheetView tabSelected="1" topLeftCell="X1" workbookViewId="0">
      <selection activeCell="AH5" sqref="AH5"/>
    </sheetView>
  </sheetViews>
  <sheetFormatPr defaultRowHeight="15" x14ac:dyDescent="0.25"/>
  <cols>
    <col min="1" max="1" width="9.140625" style="9"/>
    <col min="3" max="3" width="11" bestFit="1" customWidth="1"/>
    <col min="4" max="4" width="14.85546875" bestFit="1" customWidth="1"/>
    <col min="5" max="5" width="21.5703125" bestFit="1" customWidth="1"/>
    <col min="6" max="6" width="8.7109375" bestFit="1" customWidth="1"/>
    <col min="8" max="8" width="18.85546875" bestFit="1" customWidth="1"/>
    <col min="9" max="9" width="10.5703125" bestFit="1" customWidth="1"/>
    <col min="10" max="10" width="24" bestFit="1" customWidth="1"/>
    <col min="11" max="12" width="24.42578125" bestFit="1" customWidth="1"/>
    <col min="13" max="13" width="16.140625" bestFit="1" customWidth="1"/>
    <col min="14" max="14" width="21" bestFit="1" customWidth="1"/>
    <col min="15" max="15" width="21.42578125" bestFit="1" customWidth="1"/>
    <col min="16" max="16" width="23.140625" bestFit="1" customWidth="1"/>
    <col min="17" max="17" width="24.7109375" bestFit="1" customWidth="1"/>
    <col min="18" max="18" width="26.140625" bestFit="1" customWidth="1"/>
    <col min="19" max="20" width="24.85546875" bestFit="1" customWidth="1"/>
    <col min="21" max="21" width="20.7109375" bestFit="1" customWidth="1"/>
    <col min="22" max="22" width="17.28515625" bestFit="1" customWidth="1"/>
    <col min="23" max="23" width="25.140625" bestFit="1" customWidth="1"/>
    <col min="24" max="24" width="25.5703125" bestFit="1" customWidth="1"/>
    <col min="25" max="25" width="30.42578125" bestFit="1" customWidth="1"/>
    <col min="26" max="26" width="32.140625" bestFit="1" customWidth="1"/>
    <col min="27" max="28" width="31.28515625" bestFit="1" customWidth="1"/>
    <col min="29" max="29" width="33.5703125" bestFit="1" customWidth="1"/>
    <col min="30" max="30" width="31.28515625" bestFit="1" customWidth="1"/>
    <col min="31" max="31" width="33.5703125" bestFit="1" customWidth="1"/>
    <col min="32" max="32" width="34.5703125" bestFit="1" customWidth="1"/>
    <col min="33" max="33" width="26.42578125" bestFit="1" customWidth="1"/>
    <col min="34" max="34" width="27.140625" style="10" bestFit="1" customWidth="1"/>
    <col min="35" max="35" width="25.85546875" style="8" bestFit="1" customWidth="1"/>
    <col min="36" max="16384" width="9.140625" style="7"/>
  </cols>
  <sheetData>
    <row r="1" spans="1:35" s="2" customFormat="1" x14ac:dyDescent="0.25"/>
    <row r="2" spans="1:35" s="2" customFormat="1" ht="19.5" x14ac:dyDescent="0.3">
      <c r="C2" s="3"/>
    </row>
    <row r="3" spans="1:35" s="2" customFormat="1" x14ac:dyDescent="0.25"/>
    <row r="4" spans="1:35" s="2" customFormat="1" x14ac:dyDescent="0.25"/>
    <row r="5" spans="1:35" s="5" customFormat="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73</v>
      </c>
      <c r="I5" s="4" t="s">
        <v>7</v>
      </c>
      <c r="J5" s="4" t="s">
        <v>53</v>
      </c>
      <c r="K5" s="4" t="s">
        <v>54</v>
      </c>
      <c r="L5" s="4" t="s">
        <v>74</v>
      </c>
      <c r="M5" s="4" t="s">
        <v>8</v>
      </c>
      <c r="N5" s="4" t="s">
        <v>9</v>
      </c>
      <c r="O5" s="4" t="s">
        <v>75</v>
      </c>
      <c r="P5" s="4" t="s">
        <v>76</v>
      </c>
      <c r="Q5" s="4" t="s">
        <v>77</v>
      </c>
      <c r="R5" s="4" t="s">
        <v>10</v>
      </c>
      <c r="S5" s="4" t="s">
        <v>11</v>
      </c>
      <c r="T5" s="4" t="s">
        <v>12</v>
      </c>
      <c r="U5" s="4" t="s">
        <v>78</v>
      </c>
      <c r="V5" s="4" t="s">
        <v>79</v>
      </c>
      <c r="W5" s="4" t="s">
        <v>80</v>
      </c>
      <c r="X5" s="4" t="s">
        <v>81</v>
      </c>
      <c r="Y5" s="4" t="s">
        <v>13</v>
      </c>
      <c r="Z5" s="4" t="s">
        <v>63</v>
      </c>
      <c r="AA5" s="4" t="s">
        <v>64</v>
      </c>
      <c r="AB5" s="4" t="s">
        <v>14</v>
      </c>
      <c r="AC5" s="4" t="s">
        <v>82</v>
      </c>
      <c r="AD5" s="4" t="s">
        <v>83</v>
      </c>
      <c r="AE5" s="4" t="s">
        <v>84</v>
      </c>
      <c r="AF5" s="4" t="s">
        <v>85</v>
      </c>
      <c r="AG5" s="4" t="s">
        <v>86</v>
      </c>
      <c r="AH5" s="11" t="s">
        <v>87</v>
      </c>
      <c r="AI5" s="4" t="s">
        <v>68</v>
      </c>
    </row>
  </sheetData>
  <dataValidations count="14">
    <dataValidation type="decimal" allowBlank="1" showInputMessage="1" showErrorMessage="1" errorTitle="Dados Invalidos" error="Célula só aceita números" sqref="H6:H1048576" xr:uid="{13C17C58-8CAC-4E7A-BC31-A2AECABD4FCB}">
      <formula1>0</formula1>
      <formula2>100000000000</formula2>
    </dataValidation>
    <dataValidation type="decimal" allowBlank="1" showInputMessage="1" showErrorMessage="1" errorTitle="Dados Invalidos" error="Celula só permite números 0 a 1000" sqref="O6:O1048576" xr:uid="{F550D454-A827-40E2-B3F9-5333F6A46488}">
      <formula1>0</formula1>
      <formula2>1000</formula2>
    </dataValidation>
    <dataValidation type="decimal" allowBlank="1" showInputMessage="1" showErrorMessage="1" errorTitle="Dados Invalidos" error="Celula só permite números" sqref="P6:Q1048576" xr:uid="{1AEABA97-13A8-4DC6-B1AF-114B2B367805}">
      <formula1>0</formula1>
      <formula2>100000</formula2>
    </dataValidation>
    <dataValidation type="decimal" allowBlank="1" showInputMessage="1" showErrorMessage="1" errorTitle="Dados Invalidos" error="Celula só permite números entre 0 a 1" sqref="R6:S1048576" xr:uid="{0E4F0F53-6261-4C85-8000-F9BE465AE021}">
      <formula1>0</formula1>
      <formula2>1</formula2>
    </dataValidation>
    <dataValidation allowBlank="1" showInputMessage="1" showErrorMessage="1" errorTitle="Dados Invalidos" error="Celula só permite números entre 0 a 1" sqref="T6:T1048576" xr:uid="{B0A874EA-F4F4-4E58-B7DC-DC03DD52CBDB}"/>
    <dataValidation type="decimal" allowBlank="1" showInputMessage="1" showErrorMessage="1" errorTitle="Dados Invalidos" error="Celula só permite números entre 0 a 1000" sqref="U6:U1048576 AC6:AC1048576" xr:uid="{92E20A61-6ED0-4170-8C9A-BE6E1D508387}">
      <formula1>0</formula1>
      <formula2>1000</formula2>
    </dataValidation>
    <dataValidation type="decimal" allowBlank="1" showInputMessage="1" showErrorMessage="1" errorTitle="Dados Invalidos" error="Celula só permite números entre 0 a 100" sqref="V6:V1048576 AG6:AH1048576" xr:uid="{48FDD872-134D-4834-A81A-CBAF49D2C54F}">
      <formula1>0</formula1>
      <formula2>100</formula2>
    </dataValidation>
    <dataValidation type="whole" allowBlank="1" showInputMessage="1" showErrorMessage="1" errorTitle="Dados Invalidos" error="Celula só permite números inteiros_x000a_" sqref="Y6:Y1048576" xr:uid="{E997C798-185D-4DCE-99B9-CF02BAE0108A}">
      <formula1>0</formula1>
      <formula2>100</formula2>
    </dataValidation>
    <dataValidation type="decimal" allowBlank="1" showInputMessage="1" showErrorMessage="1" errorTitle="Dados Invalidos" error="Celula só permite números de 0 a 5 " sqref="AD6:AD1048576" xr:uid="{4D3E4F57-C8BE-48A1-9B1C-18EBEB97BAFB}">
      <formula1>0</formula1>
      <formula2>5</formula2>
    </dataValidation>
    <dataValidation type="decimal" allowBlank="1" showInputMessage="1" showErrorMessage="1" errorTitle="Dados Invalidos" error="Celula só permite números maiores que 0" sqref="AF6:AF1048576" xr:uid="{113745CF-62AA-4041-9D30-D0A89F6AB001}">
      <formula1>0</formula1>
      <formula2>100000</formula2>
    </dataValidation>
    <dataValidation type="decimal" allowBlank="1" showInputMessage="1" showErrorMessage="1" errorTitle="Dados Invalidos" error="Celula só permite números entre 0 a 1000_x000a_" sqref="AE6:AE1048576" xr:uid="{792BC23B-25A6-4DD7-9DBF-E28887A40DCD}">
      <formula1>0</formula1>
      <formula2>1000</formula2>
    </dataValidation>
    <dataValidation type="textLength" allowBlank="1" showInputMessage="1" showErrorMessage="1" errorTitle="Dados Invalidos" error="OS só aceita textos até 50 caracteres" sqref="A6:A1048576" xr:uid="{B5AA40A6-416F-479A-84CB-7B6DD3012A22}">
      <formula1>0</formula1>
      <formula2>50</formula2>
    </dataValidation>
    <dataValidation type="textLength" allowBlank="1" showInputMessage="1" showErrorMessage="1" errorTitle="Ddos Inválidos" error="Area só aceita no maximo 50 caracteres" sqref="B6:B1048576" xr:uid="{8DAFD09C-3F4E-49AE-8055-B031D0C3DBA8}">
      <formula1>0</formula1>
      <formula2>50</formula2>
    </dataValidation>
    <dataValidation type="textLength" allowBlank="1" showInputMessage="1" showErrorMessage="1" errorTitle="Dados Inválidos" error="Campo de circuito só aceita no maximo 255 caracteres" sqref="C6:C1048576" xr:uid="{AC2EE1B3-4D33-4C64-A152-658DAA04C9DA}">
      <formula1>1</formula1>
      <formula2>255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errorTitle="Dados Invalidos" error="Só é aceito dados que estão na lista " xr:uid="{0F393BC4-E541-4766-AC8C-45D87D506BAD}">
          <x14:formula1>
            <xm:f>'Lista Dados'!$A$2:$A$3</xm:f>
          </x14:formula1>
          <xm:sqref>D6:D1048576</xm:sqref>
        </x14:dataValidation>
        <x14:dataValidation type="list" allowBlank="1" showInputMessage="1" showErrorMessage="1" errorTitle="Dados Invalidos" error="Só é permitido dados da lista" xr:uid="{631E3F9C-08DD-490E-BA34-4AA2315AAD7D}">
          <x14:formula1>
            <xm:f>'Lista Dados'!$C$2:$C$12</xm:f>
          </x14:formula1>
          <xm:sqref>F6:F1048576</xm:sqref>
        </x14:dataValidation>
        <x14:dataValidation type="list" allowBlank="1" showInputMessage="1" showErrorMessage="1" errorTitle="Dados Invalidos" error="Só é permitido dados da lista" xr:uid="{5DB9D0DA-9910-49CB-95BF-03042E7143CF}">
          <x14:formula1>
            <xm:f>'Lista Dados'!$D$2:$D$3</xm:f>
          </x14:formula1>
          <xm:sqref>G6:G1048576</xm:sqref>
        </x14:dataValidation>
        <x14:dataValidation type="list" allowBlank="1" showInputMessage="1" showErrorMessage="1" errorTitle="Dados Invalidos" error="Só é permitido dados da lista" xr:uid="{5ABCCCFF-2E00-4B55-9DBA-6CDA1215B2C7}">
          <x14:formula1>
            <xm:f>'Lista Dados'!$E$2:$E$7</xm:f>
          </x14:formula1>
          <xm:sqref>I6:I1048576</xm:sqref>
        </x14:dataValidation>
        <x14:dataValidation type="list" allowBlank="1" showInputMessage="1" showErrorMessage="1" errorTitle="Dados Invalidos" error="Só é permitido dados da lista" xr:uid="{A1A1790D-8856-485A-B3E5-DDF5F1D59B04}">
          <x14:formula1>
            <xm:f>'Lista Dados'!$F$2:$F$16</xm:f>
          </x14:formula1>
          <xm:sqref>L6:L1048576</xm:sqref>
        </x14:dataValidation>
        <x14:dataValidation type="list" allowBlank="1" showInputMessage="1" showErrorMessage="1" errorTitle="Dados Invalidos" error="Só é permitido dados da lista" xr:uid="{3FB99F6C-B262-4F47-952B-A705A321D88F}">
          <x14:formula1>
            <xm:f>'Lista Dados'!$G$2:$G$4</xm:f>
          </x14:formula1>
          <xm:sqref>M6:M1048576</xm:sqref>
        </x14:dataValidation>
        <x14:dataValidation type="list" allowBlank="1" showInputMessage="1" showErrorMessage="1" errorTitle="Dados Invalidos" error="Só é permitido dados da lista" xr:uid="{4FB188EF-8E41-4C40-9C03-D06D24257DA5}">
          <x14:formula1>
            <xm:f>'Lista Dados'!$H$2:$H$3</xm:f>
          </x14:formula1>
          <xm:sqref>N6:N1048576</xm:sqref>
        </x14:dataValidation>
        <x14:dataValidation type="list" allowBlank="1" showInputMessage="1" showErrorMessage="1" errorTitle="Dados Invalidos" error="Só é permitido dados da lista" xr:uid="{802354E0-4625-468C-833B-5B3FE1CD6E22}">
          <x14:formula1>
            <xm:f>'Lista Dados'!$I$2:$I$21</xm:f>
          </x14:formula1>
          <xm:sqref>W6:X1048576</xm:sqref>
        </x14:dataValidation>
        <x14:dataValidation type="list" allowBlank="1" showInputMessage="1" showErrorMessage="1" errorTitle="Dados Invalidos" error="Só é permitido dados da lista" xr:uid="{E27EA1F2-1EA1-4320-B101-9A8ECF12F8DF}">
          <x14:formula1>
            <xm:f>'Lista Dados'!$J$2:$J$5</xm:f>
          </x14:formula1>
          <xm:sqref>AB6:AB1048576</xm:sqref>
        </x14:dataValidation>
        <x14:dataValidation type="list" allowBlank="1" showInputMessage="1" showErrorMessage="1" errorTitle="Dados Invalidos" error="Só é permitido dados da lista" xr:uid="{348082AD-451C-45B7-A99E-408D1AF659A3}">
          <x14:formula1>
            <xm:f>'Lista Dados'!$L$2:$L$5</xm:f>
          </x14:formula1>
          <xm:sqref>J6:J1048576</xm:sqref>
        </x14:dataValidation>
        <x14:dataValidation type="list" allowBlank="1" showInputMessage="1" showErrorMessage="1" errorTitle="Dados Invalidos" error="Só é permitido dados da lista" xr:uid="{D2B7DBD0-1487-4FA6-A288-0008AE34DAB8}">
          <x14:formula1>
            <xm:f>'Lista Dados'!$M$2:$M$4</xm:f>
          </x14:formula1>
          <xm:sqref>K6:K1048576</xm:sqref>
        </x14:dataValidation>
        <x14:dataValidation type="list" allowBlank="1" showInputMessage="1" showErrorMessage="1" errorTitle="Dados Inválidos" error="Só é permito os valores da lista" xr:uid="{FC2DC21C-EFAB-4CDA-9023-8D67D257148C}">
          <x14:formula1>
            <xm:f>'Lista Dados'!$N$2:$N$3</xm:f>
          </x14:formula1>
          <xm:sqref>AA6:AA1048576</xm:sqref>
        </x14:dataValidation>
        <x14:dataValidation type="list" allowBlank="1" showInputMessage="1" showErrorMessage="1" errorTitle="Dados Inválidos" error="Só é permitido os valores da lista" xr:uid="{DC896F66-4AC9-412C-A4D2-8C988EE9AA63}">
          <x14:formula1>
            <xm:f>'Lista Dados'!$N$2:$N$3</xm:f>
          </x14:formula1>
          <xm:sqref>Z6:Z1048576</xm:sqref>
        </x14:dataValidation>
        <x14:dataValidation type="list" allowBlank="1" showInputMessage="1" showErrorMessage="1" errorTitle="Dados Inválidos" error="Só é permitido selecionar os dados da lista" xr:uid="{4AA258B0-4326-4AB6-81E5-89608C3734E6}">
          <x14:formula1>
            <xm:f>'Lista Dados'!$N$2:$N$3</xm:f>
          </x14:formula1>
          <xm:sqref>AI6:AI1048576</xm:sqref>
        </x14:dataValidation>
        <x14:dataValidation type="list" allowBlank="1" showInputMessage="1" showErrorMessage="1" errorTitle="Dados Invalidos" error="Só é permitido dados da lista" xr:uid="{5B07DCDE-B3AF-4449-830F-1323805B8703}">
          <x14:formula1>
            <xm:f>'Lista Dados'!$B$2:$B$8</xm:f>
          </x14:formula1>
          <xm:sqref>E6:E1048576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A914-F1F3-4435-A83F-818C8D11E2DA}">
  <dimension ref="A1:N21"/>
  <sheetViews>
    <sheetView workbookViewId="0">
      <selection activeCell="E8" sqref="E8"/>
    </sheetView>
  </sheetViews>
  <sheetFormatPr defaultRowHeight="15" x14ac:dyDescent="0.25"/>
  <cols>
    <col min="1" max="1" width="14.140625" bestFit="1" customWidth="1"/>
    <col min="2" max="2" width="39.28515625" bestFit="1" customWidth="1"/>
    <col min="5" max="5" width="12.28515625" bestFit="1" customWidth="1"/>
    <col min="6" max="6" width="15.42578125" bestFit="1" customWidth="1"/>
    <col min="7" max="7" width="13.42578125" bestFit="1" customWidth="1"/>
    <col min="8" max="8" width="21" bestFit="1" customWidth="1"/>
    <col min="10" max="10" width="14" bestFit="1" customWidth="1"/>
    <col min="12" max="12" width="29.28515625" bestFit="1" customWidth="1"/>
    <col min="13" max="13" width="20.5703125" bestFit="1" customWidth="1"/>
  </cols>
  <sheetData>
    <row r="1" spans="1:14" s="1" customFormat="1" x14ac:dyDescent="0.25">
      <c r="A1" s="1" t="s">
        <v>15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40</v>
      </c>
      <c r="G1" s="1" t="s">
        <v>41</v>
      </c>
      <c r="H1" s="1" t="s">
        <v>9</v>
      </c>
      <c r="I1" s="1" t="s">
        <v>47</v>
      </c>
      <c r="J1" s="1" t="s">
        <v>48</v>
      </c>
      <c r="L1" s="1" t="s">
        <v>55</v>
      </c>
      <c r="M1" s="1" t="s">
        <v>54</v>
      </c>
      <c r="N1" s="1" t="s">
        <v>65</v>
      </c>
    </row>
    <row r="2" spans="1:14" x14ac:dyDescent="0.25">
      <c r="A2" s="6" t="s">
        <v>16</v>
      </c>
      <c r="B2" t="s">
        <v>18</v>
      </c>
      <c r="C2" t="s">
        <v>24</v>
      </c>
      <c r="D2" t="s">
        <v>34</v>
      </c>
      <c r="E2" t="s">
        <v>36</v>
      </c>
      <c r="F2">
        <v>10</v>
      </c>
      <c r="G2" t="s">
        <v>42</v>
      </c>
      <c r="H2" t="s">
        <v>45</v>
      </c>
      <c r="I2">
        <v>2.5</v>
      </c>
      <c r="J2" t="s">
        <v>49</v>
      </c>
      <c r="L2" t="s">
        <v>56</v>
      </c>
      <c r="M2" t="s">
        <v>60</v>
      </c>
      <c r="N2" t="s">
        <v>66</v>
      </c>
    </row>
    <row r="3" spans="1:14" x14ac:dyDescent="0.25">
      <c r="A3" s="6" t="s">
        <v>17</v>
      </c>
      <c r="B3" t="s">
        <v>19</v>
      </c>
      <c r="C3" t="s">
        <v>25</v>
      </c>
      <c r="D3" t="s">
        <v>35</v>
      </c>
      <c r="E3" t="s">
        <v>37</v>
      </c>
      <c r="F3">
        <v>15</v>
      </c>
      <c r="G3" t="s">
        <v>43</v>
      </c>
      <c r="H3" t="s">
        <v>46</v>
      </c>
      <c r="I3">
        <v>4</v>
      </c>
      <c r="J3" t="s">
        <v>50</v>
      </c>
      <c r="L3" t="s">
        <v>57</v>
      </c>
      <c r="M3" t="s">
        <v>61</v>
      </c>
      <c r="N3" t="s">
        <v>67</v>
      </c>
    </row>
    <row r="4" spans="1:14" x14ac:dyDescent="0.25">
      <c r="B4" t="s">
        <v>20</v>
      </c>
      <c r="C4" t="s">
        <v>26</v>
      </c>
      <c r="E4" t="s">
        <v>38</v>
      </c>
      <c r="F4">
        <v>20</v>
      </c>
      <c r="G4" t="s">
        <v>44</v>
      </c>
      <c r="I4">
        <v>6</v>
      </c>
      <c r="J4" t="s">
        <v>51</v>
      </c>
      <c r="L4" t="s">
        <v>58</v>
      </c>
      <c r="M4" t="s">
        <v>62</v>
      </c>
    </row>
    <row r="5" spans="1:14" x14ac:dyDescent="0.25">
      <c r="B5" t="s">
        <v>21</v>
      </c>
      <c r="C5" t="s">
        <v>27</v>
      </c>
      <c r="E5" t="s">
        <v>39</v>
      </c>
      <c r="F5">
        <v>25</v>
      </c>
      <c r="I5">
        <v>10</v>
      </c>
      <c r="J5" t="s">
        <v>52</v>
      </c>
      <c r="L5" t="s">
        <v>59</v>
      </c>
    </row>
    <row r="6" spans="1:14" x14ac:dyDescent="0.25">
      <c r="B6" t="s">
        <v>22</v>
      </c>
      <c r="C6" t="s">
        <v>28</v>
      </c>
      <c r="E6" t="s">
        <v>70</v>
      </c>
      <c r="F6">
        <v>30</v>
      </c>
      <c r="I6">
        <v>16</v>
      </c>
    </row>
    <row r="7" spans="1:14" x14ac:dyDescent="0.25">
      <c r="B7" t="s">
        <v>69</v>
      </c>
      <c r="C7" t="s">
        <v>29</v>
      </c>
      <c r="E7" t="s">
        <v>72</v>
      </c>
      <c r="F7">
        <v>35</v>
      </c>
      <c r="I7">
        <v>25</v>
      </c>
    </row>
    <row r="8" spans="1:14" x14ac:dyDescent="0.25">
      <c r="B8" t="s">
        <v>23</v>
      </c>
      <c r="C8" t="s">
        <v>30</v>
      </c>
      <c r="F8">
        <v>40</v>
      </c>
      <c r="I8">
        <v>35</v>
      </c>
    </row>
    <row r="9" spans="1:14" x14ac:dyDescent="0.25">
      <c r="C9" t="s">
        <v>31</v>
      </c>
      <c r="F9">
        <v>45</v>
      </c>
      <c r="I9">
        <v>50</v>
      </c>
    </row>
    <row r="10" spans="1:14" x14ac:dyDescent="0.25">
      <c r="C10" t="s">
        <v>32</v>
      </c>
      <c r="F10">
        <v>50</v>
      </c>
      <c r="I10">
        <v>70</v>
      </c>
    </row>
    <row r="11" spans="1:14" x14ac:dyDescent="0.25">
      <c r="C11" t="s">
        <v>33</v>
      </c>
      <c r="F11">
        <v>55</v>
      </c>
      <c r="I11">
        <v>95</v>
      </c>
    </row>
    <row r="12" spans="1:14" x14ac:dyDescent="0.25">
      <c r="C12" t="s">
        <v>71</v>
      </c>
      <c r="F12">
        <v>60</v>
      </c>
      <c r="I12">
        <v>120</v>
      </c>
    </row>
    <row r="13" spans="1:14" x14ac:dyDescent="0.25">
      <c r="F13">
        <v>65</v>
      </c>
      <c r="I13">
        <v>150</v>
      </c>
    </row>
    <row r="14" spans="1:14" x14ac:dyDescent="0.25">
      <c r="F14">
        <v>70</v>
      </c>
      <c r="I14">
        <v>185</v>
      </c>
    </row>
    <row r="15" spans="1:14" x14ac:dyDescent="0.25">
      <c r="F15">
        <v>75</v>
      </c>
      <c r="I15">
        <v>240</v>
      </c>
    </row>
    <row r="16" spans="1:14" x14ac:dyDescent="0.25">
      <c r="F16">
        <v>80</v>
      </c>
      <c r="I16">
        <v>300</v>
      </c>
    </row>
    <row r="17" spans="9:9" x14ac:dyDescent="0.25">
      <c r="I17">
        <v>400</v>
      </c>
    </row>
    <row r="18" spans="9:9" x14ac:dyDescent="0.25">
      <c r="I18">
        <v>500</v>
      </c>
    </row>
    <row r="19" spans="9:9" x14ac:dyDescent="0.25">
      <c r="I19">
        <v>630</v>
      </c>
    </row>
    <row r="20" spans="9:9" x14ac:dyDescent="0.25">
      <c r="I20">
        <v>800</v>
      </c>
    </row>
    <row r="21" spans="9:9" x14ac:dyDescent="0.25">
      <c r="I21">
        <v>1000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</vt:lpstr>
      <vt:lpstr>Lista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Ramon Soares Peretti</cp:lastModifiedBy>
  <dcterms:created xsi:type="dcterms:W3CDTF">2022-09-22T14:17:22Z</dcterms:created>
  <dcterms:modified xsi:type="dcterms:W3CDTF">2022-12-01T18:50:49Z</dcterms:modified>
</cp:coreProperties>
</file>